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900" firstSheet="0" activeTab="0" autoFilterDateGrouping="1"/>
  </bookViews>
  <sheets>
    <sheet name="Артефакты" sheetId="1" state="visible" r:id="rId1"/>
    <sheet name="Этапы" sheetId="2" state="visible" r:id="rId2"/>
    <sheet name="Лист1" sheetId="3" state="hidden" r:id="rId3"/>
    <sheet name="для ИЛ" sheetId="4" state="hidden" r:id="rId4"/>
    <sheet name="штрафы" sheetId="5" state="hidden" r:id="rId5"/>
    <sheet name="CAPEX" sheetId="6" state="visible" r:id="rId6"/>
    <sheet name="OPEX" sheetId="7" state="visible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______________kpn1">[1]Главн!$D$46</definedName>
    <definedName name="_______________kpn2">[1]Главн!$E$46</definedName>
    <definedName name="_______________kpn4">[1]Главн!$G$46</definedName>
    <definedName name="_______________kpn5">[1]Главн!$H$46</definedName>
    <definedName name="_______________kpn7">[1]Главн!$J$46</definedName>
    <definedName name="_______________nds1">[1]Главн!$D$42</definedName>
    <definedName name="_______________nds3">[1]Главн!$F$42</definedName>
    <definedName name="_______________nds4">[1]Главн!$G$42</definedName>
    <definedName name="_______________nds6">[1]Главн!$I$42</definedName>
    <definedName name="______________kpn1">[1]Главн!$D$46</definedName>
    <definedName name="______________kpn2">[1]Главн!$E$46</definedName>
    <definedName name="______________kpn3">[1]Главн!$F$46</definedName>
    <definedName name="______________kpn4">[1]Главн!$G$46</definedName>
    <definedName name="______________kpn5">[1]Главн!$H$46</definedName>
    <definedName name="______________kpn6">[1]Главн!$I$46</definedName>
    <definedName name="______________kpn7">[1]Главн!$J$46</definedName>
    <definedName name="______________kpn8">[1]Главн!$K$46</definedName>
    <definedName name="______________nds1">[1]Главн!$D$42</definedName>
    <definedName name="______________nds2">[1]Главн!$E$42</definedName>
    <definedName name="______________nds3">[1]Главн!$F$42</definedName>
    <definedName name="______________nds4">[1]Главн!$G$42</definedName>
    <definedName name="______________nds5">[1]Главн!$H$42</definedName>
    <definedName name="______________nds6">[1]Главн!$I$42</definedName>
    <definedName name="_____________kpn1">[1]Главн!$D$46</definedName>
    <definedName name="_____________kpn2">[1]Главн!$E$46</definedName>
    <definedName name="_____________kpn3">[1]Главн!$F$46</definedName>
    <definedName name="_____________kpn4">[1]Главн!$G$46</definedName>
    <definedName name="_____________kpn5">[1]Главн!$H$46</definedName>
    <definedName name="_____________kpn6">[1]Главн!$I$46</definedName>
    <definedName name="_____________kpn7">[1]Главн!$J$46</definedName>
    <definedName name="_____________kpn8">[1]Главн!$K$46</definedName>
    <definedName name="_____________nds1">[1]Главн!$D$42</definedName>
    <definedName name="_____________nds2">[1]Главн!$E$42</definedName>
    <definedName name="_____________nds3">[1]Главн!$F$42</definedName>
    <definedName name="_____________nds4">[1]Главн!$G$42</definedName>
    <definedName name="_____________nds5">[1]Главн!$H$42</definedName>
    <definedName name="_____________nds6">[1]Главн!$I$42</definedName>
    <definedName name="____________kpn1">[1]Главн!$D$46</definedName>
    <definedName name="____________kpn2">[1]Главн!$E$46</definedName>
    <definedName name="____________kpn3">[1]Главн!$F$46</definedName>
    <definedName name="____________kpn4">[1]Главн!$G$46</definedName>
    <definedName name="____________kpn5">[1]Главн!$H$46</definedName>
    <definedName name="____________kpn6">[1]Главн!$I$46</definedName>
    <definedName name="____________kpn7">[1]Главн!$J$46</definedName>
    <definedName name="____________kpn8">[1]Главн!$K$46</definedName>
    <definedName name="____________nds1">[1]Главн!$D$42</definedName>
    <definedName name="____________nds2">[1]Главн!$E$42</definedName>
    <definedName name="____________nds3">[1]Главн!$F$42</definedName>
    <definedName name="____________nds4">[1]Главн!$G$42</definedName>
    <definedName name="____________nds5">[1]Главн!$H$42</definedName>
    <definedName name="____________nds6">[1]Главн!$I$42</definedName>
    <definedName name="___________kpn1">[1]Главн!$D$46</definedName>
    <definedName name="___________kpn2">[1]Главн!$E$46</definedName>
    <definedName name="___________kpn3">[1]Главн!$F$46</definedName>
    <definedName name="___________kpn4">[1]Главн!$G$46</definedName>
    <definedName name="___________kpn5">[1]Главн!$H$46</definedName>
    <definedName name="___________kpn6">[1]Главн!$I$46</definedName>
    <definedName name="___________kpn7">[1]Главн!$J$46</definedName>
    <definedName name="___________kpn8">[1]Главн!$K$46</definedName>
    <definedName name="___________nds1">[1]Главн!$D$42</definedName>
    <definedName name="___________nds2">[1]Главн!$E$42</definedName>
    <definedName name="___________nds3">[1]Главн!$F$42</definedName>
    <definedName name="___________nds4">[1]Главн!$G$42</definedName>
    <definedName name="___________nds5">[1]Главн!$H$42</definedName>
    <definedName name="___________nds6">[1]Главн!$I$42</definedName>
    <definedName name="__________kpn1">[1]Главн!$D$46</definedName>
    <definedName name="__________kpn2">[1]Главн!$E$46</definedName>
    <definedName name="__________kpn3">[1]Главн!$F$46</definedName>
    <definedName name="__________kpn4">[1]Главн!$G$46</definedName>
    <definedName name="__________kpn5">[1]Главн!$H$46</definedName>
    <definedName name="__________kpn6">[1]Главн!$I$46</definedName>
    <definedName name="__________kpn7">[1]Главн!$J$46</definedName>
    <definedName name="__________kpn8">[1]Главн!$K$46</definedName>
    <definedName name="__________nds1">[1]Главн!$D$42</definedName>
    <definedName name="__________nds2">[1]Главн!$E$42</definedName>
    <definedName name="__________nds3">[1]Главн!$F$42</definedName>
    <definedName name="__________nds4">[1]Главн!$G$42</definedName>
    <definedName name="__________nds5">[1]Главн!$H$42</definedName>
    <definedName name="__________nds6">[1]Главн!$I$42</definedName>
    <definedName name="_________kpn1">[1]Главн!$D$46</definedName>
    <definedName name="_________kpn2">[1]Главн!$E$46</definedName>
    <definedName name="_________kpn3">[1]Главн!$F$46</definedName>
    <definedName name="_________kpn4">[1]Главн!$G$46</definedName>
    <definedName name="_________kpn5">[1]Главн!$H$46</definedName>
    <definedName name="_________kpn6">[1]Главн!$I$46</definedName>
    <definedName name="_________kpn7">[1]Главн!$J$46</definedName>
    <definedName name="_________kpn8">[1]Главн!$K$46</definedName>
    <definedName name="_________nds1">[1]Главн!$D$42</definedName>
    <definedName name="_________nds2">[1]Главн!$E$42</definedName>
    <definedName name="_________nds3">[1]Главн!$F$42</definedName>
    <definedName name="_________nds4">[1]Главн!$G$42</definedName>
    <definedName name="_________nds5">[1]Главн!$H$42</definedName>
    <definedName name="_________nds6">[1]Главн!$I$42</definedName>
    <definedName name="________kpn1">[1]Главн!$D$46</definedName>
    <definedName name="________kpn2">[1]Главн!$E$46</definedName>
    <definedName name="________kpn3">[1]Главн!$F$46</definedName>
    <definedName name="________kpn4">[1]Главн!$G$46</definedName>
    <definedName name="________kpn5">[1]Главн!$H$46</definedName>
    <definedName name="________kpn6">[1]Главн!$I$46</definedName>
    <definedName name="________kpn7">[1]Главн!$J$46</definedName>
    <definedName name="________kpn8">[1]Главн!$K$46</definedName>
    <definedName name="________nds1">[1]Главн!$D$42</definedName>
    <definedName name="________nds2">[1]Главн!$E$42</definedName>
    <definedName name="________nds3">[1]Главн!$F$42</definedName>
    <definedName name="________nds4">[1]Главн!$G$42</definedName>
    <definedName name="________nds5">[1]Главн!$H$42</definedName>
    <definedName name="________nds6">[1]Главн!$I$42</definedName>
    <definedName name="_______kpn1">[1]Главн!$D$46</definedName>
    <definedName name="_______kpn2">[1]Главн!$E$46</definedName>
    <definedName name="_______kpn3">[1]Главн!$F$46</definedName>
    <definedName name="_______kpn4">[1]Главн!$G$46</definedName>
    <definedName name="_______kpn5">[1]Главн!$H$46</definedName>
    <definedName name="_______kpn6">[1]Главн!$I$46</definedName>
    <definedName name="_______kpn7">[1]Главн!$J$46</definedName>
    <definedName name="_______kpn8">[1]Главн!$K$46</definedName>
    <definedName name="_______nds1">[1]Главн!$D$42</definedName>
    <definedName name="_______nds2">[1]Главн!$E$42</definedName>
    <definedName name="_______nds3">[1]Главн!$F$42</definedName>
    <definedName name="_______nds4">[1]Главн!$G$42</definedName>
    <definedName name="_______nds5">[1]Главн!$H$42</definedName>
    <definedName name="_______nds6">[1]Главн!$I$42</definedName>
    <definedName name="______kpn1">[1]Главн!$D$46</definedName>
    <definedName name="______kpn2">[1]Главн!$E$46</definedName>
    <definedName name="______kpn3">[1]Главн!$F$46</definedName>
    <definedName name="______kpn4">[1]Главн!$G$46</definedName>
    <definedName name="______kpn5">[1]Главн!$H$46</definedName>
    <definedName name="______kpn6">[1]Главн!$I$46</definedName>
    <definedName name="______kpn7">[1]Главн!$J$46</definedName>
    <definedName name="______kpn8">[1]Главн!$K$46</definedName>
    <definedName name="______nds1">[1]Главн!$D$42</definedName>
    <definedName name="______nds2">[1]Главн!$E$42</definedName>
    <definedName name="______nds3">[1]Главн!$F$42</definedName>
    <definedName name="______nds4">[1]Главн!$G$42</definedName>
    <definedName name="______nds5">[1]Главн!$H$42</definedName>
    <definedName name="______nds6">[1]Главн!$I$42</definedName>
    <definedName name="_____kpn1">[1]Главн!$D$46</definedName>
    <definedName name="_____kpn2">[1]Главн!$E$46</definedName>
    <definedName name="_____kpn3">[1]Главн!$F$46</definedName>
    <definedName name="_____kpn4">[1]Главн!$G$46</definedName>
    <definedName name="_____kpn5">[1]Главн!$H$46</definedName>
    <definedName name="_____kpn6">[1]Главн!$I$46</definedName>
    <definedName name="_____kpn7">[1]Главн!$J$46</definedName>
    <definedName name="_____kpn8">[1]Главн!$K$46</definedName>
    <definedName name="_____nds1">[1]Главн!$D$42</definedName>
    <definedName name="_____nds2">[1]Главн!$E$42</definedName>
    <definedName name="_____nds3">[1]Главн!$F$42</definedName>
    <definedName name="_____nds4">[1]Главн!$G$42</definedName>
    <definedName name="_____nds5">[1]Главн!$H$42</definedName>
    <definedName name="_____nds6">[1]Главн!$I$42</definedName>
    <definedName name="____kpn1">[1]Главн!$D$46</definedName>
    <definedName name="____kpn2">[1]Главн!$E$46</definedName>
    <definedName name="____kpn3">[1]Главн!$F$46</definedName>
    <definedName name="____kpn4">[1]Главн!$G$46</definedName>
    <definedName name="____kpn5">[1]Главн!$H$46</definedName>
    <definedName name="____kpn6">[1]Главн!$I$46</definedName>
    <definedName name="____kpn7">[1]Главн!$J$46</definedName>
    <definedName name="____kpn8">[1]Главн!$K$46</definedName>
    <definedName name="____nds1">[1]Главн!$D$42</definedName>
    <definedName name="____nds2">[1]Главн!$E$42</definedName>
    <definedName name="____nds3">[1]Главн!$F$42</definedName>
    <definedName name="____nds4">[1]Главн!$G$42</definedName>
    <definedName name="____nds5">[1]Главн!$H$42</definedName>
    <definedName name="____nds6">[1]Главн!$I$42</definedName>
    <definedName name="___kpn1">[1]Главн!$D$46</definedName>
    <definedName name="___kpn2">[1]Главн!$E$46</definedName>
    <definedName name="___kpn3">[1]Главн!$F$46</definedName>
    <definedName name="___kpn4">[1]Главн!$G$46</definedName>
    <definedName name="___kpn5">[1]Главн!$H$46</definedName>
    <definedName name="___kpn6">[1]Главн!$I$46</definedName>
    <definedName name="___kpn7">[1]Главн!$J$46</definedName>
    <definedName name="___kpn8">[1]Главн!$K$46</definedName>
    <definedName name="___nds1">[1]Главн!$D$42</definedName>
    <definedName name="___nds2">[1]Главн!$E$42</definedName>
    <definedName name="___nds3">[1]Главн!$F$42</definedName>
    <definedName name="___nds4">[1]Главн!$G$42</definedName>
    <definedName name="___nds5">[1]Главн!$H$42</definedName>
    <definedName name="___nds6">[1]Главн!$I$42</definedName>
    <definedName name="__kpn1">[2]Главн!$D$46</definedName>
    <definedName name="__kpn2">[2]Главн!$E$46</definedName>
    <definedName name="__kpn3">[2]Главн!$F$46</definedName>
    <definedName name="__kpn4">[2]Главн!$G$46</definedName>
    <definedName name="__kpn5">[2]Главн!$H$46</definedName>
    <definedName name="__kpn6">[1]Главн!$I$46</definedName>
    <definedName name="__kpn7">[2]Главн!$J$46</definedName>
    <definedName name="__kpn8">[1]Главн!$K$46</definedName>
    <definedName name="__nds1">[2]Главн!$D$42</definedName>
    <definedName name="__nds2">[1]Главн!$E$42</definedName>
    <definedName name="__nds3">[2]Главн!$F$42</definedName>
    <definedName name="__nds4">[2]Главн!$G$42</definedName>
    <definedName name="__nds5">[1]Главн!$H$42</definedName>
    <definedName name="__nds6">[2]Главн!$I$42</definedName>
    <definedName name="_kpn1">[3]Главн!$D$46</definedName>
    <definedName name="_kpn2">[3]Главн!$E$46</definedName>
    <definedName name="_kpn3">[3]Главн!$F$46</definedName>
    <definedName name="_kpn4">[3]Главн!$G$46</definedName>
    <definedName name="_kpn5">[3]Главн!$H$46</definedName>
    <definedName name="_kpn6">[3]Главн!$I$46</definedName>
    <definedName name="_kpn7">[3]Главн!$J$46</definedName>
    <definedName name="_kpn8">[3]Главн!$K$46</definedName>
    <definedName name="_nds1">[3]Главн!$D$42</definedName>
    <definedName name="_nds2">[3]Главн!$E$42</definedName>
    <definedName name="_nds3">[3]Главн!$F$42</definedName>
    <definedName name="_nds4">[3]Главн!$G$42</definedName>
    <definedName name="_nds5">[3]Главн!$H$42</definedName>
    <definedName name="_nds6">[3]Главн!$I$42</definedName>
    <definedName name="aby">#REF!</definedName>
    <definedName name="aby_ggh">#REF!</definedName>
    <definedName name="ActualResults">#REF!</definedName>
    <definedName name="ActualScenario">#REF!</definedName>
    <definedName name="AMF">[4]Предположения!$C$108</definedName>
    <definedName name="Amortization">[5]Invest!$G$182:$BN$182</definedName>
    <definedName name="ANN_PAY_Capital">#REF!</definedName>
    <definedName name="ANN_PAY_N">#REF!</definedName>
    <definedName name="ANN_PAY_Percent">#REF!</definedName>
    <definedName name="anscount" hidden="1">1</definedName>
    <definedName name="AR">[6]Предположения!#REF!</definedName>
    <definedName name="areket">#REF!</definedName>
    <definedName name="areket2">#REF!</definedName>
    <definedName name="asdbkfklld">#REF!</definedName>
    <definedName name="Availability_PMT">[5]Ops!$G$91:$BN$91</definedName>
    <definedName name="BEP_AVC">#REF!</definedName>
    <definedName name="BEP_FC">#REF!</definedName>
    <definedName name="BEP_MR">#REF!</definedName>
    <definedName name="BEP_Q0">#REF!</definedName>
    <definedName name="BEP_Qmax">#REF!</definedName>
    <definedName name="BEP_Qmin">#REF!</definedName>
    <definedName name="BEP_R0">#REF!</definedName>
    <definedName name="BIP_NPV">'[7]ДП (БИП)'!$D$32</definedName>
    <definedName name="BNPV">'[6]Анализ и БЭ'!$D$39</definedName>
    <definedName name="bonus_loan">[8]Data!$D$110</definedName>
    <definedName name="BRIK_BRIK_PRICE">#REF!</definedName>
    <definedName name="BRIK_CEMENT_1M">#REF!</definedName>
    <definedName name="BRIK_CEMENT_PRICE">#REF!</definedName>
    <definedName name="BRIK_H">#REF!</definedName>
    <definedName name="BRIK_L">#REF!</definedName>
    <definedName name="BRIK_PESOK_1M">#REF!</definedName>
    <definedName name="BRIK_PESOK_PRICE">#REF!</definedName>
    <definedName name="BRIK_PROEM_S">#REF!</definedName>
    <definedName name="BRIK_RESULTS">#REF!</definedName>
    <definedName name="BRIK_SHOV_H">#REF!</definedName>
    <definedName name="BRIK_W">#REF!</definedName>
    <definedName name="BRIK_WALL_H_M">#REF!</definedName>
    <definedName name="BRIK_WALL_H_N">#REF!</definedName>
    <definedName name="BRIK_WALL_L_M">#REF!</definedName>
    <definedName name="BRIK_WALL_L_N">#REF!</definedName>
    <definedName name="BRIK_WALL_W_M">#REF!</definedName>
    <definedName name="BRIK_WALL_W_N">#REF!</definedName>
    <definedName name="BRIK_WORK_PRICE">#REF!</definedName>
    <definedName name="bud">#REF!</definedName>
    <definedName name="budj_disk_last">#REF!</definedName>
    <definedName name="budj_last">#REF!</definedName>
    <definedName name="capex">#REF!</definedName>
    <definedName name="CC">#REF!</definedName>
    <definedName name="cfb">[9]NPV!$F$18</definedName>
    <definedName name="CICC_delay">[5]Assum!$E$64</definedName>
    <definedName name="Concession_Period">[8]Data!$C$10</definedName>
    <definedName name="Cons_End">[10]Inputs!$D$16</definedName>
    <definedName name="Cons_Period">[10]Calcs!$I$7:$AV$7</definedName>
    <definedName name="Cons_Start">[10]Inputs!$D$14</definedName>
    <definedName name="Const_Subsidy">[5]Ops!$G$97:$BN$97</definedName>
    <definedName name="Construction_period">[8]Data!$C$11</definedName>
    <definedName name="Copy">#REF!</definedName>
    <definedName name="Corporate_tax">[5]Assum!$G$161:$BN$161</definedName>
    <definedName name="CPI">[10]Calcs!$I$21:$AV$21</definedName>
    <definedName name="Creditors_ST">[5]Acct!$G$155:$BN$155</definedName>
    <definedName name="CTR">[11]Предположения!$D$21</definedName>
    <definedName name="Cum_CPI">#REF!</definedName>
    <definedName name="cur">[12]данные!$A$2</definedName>
    <definedName name="curr">#REF!</definedName>
    <definedName name="Currency">[8]Data!$B$176:$B$186</definedName>
    <definedName name="Currency_month_table">[8]Economic!$D$60:$BP$66</definedName>
    <definedName name="Currency_table">[8]Economic!$D$47:$DA$53</definedName>
    <definedName name="d">#REF!</definedName>
    <definedName name="data_begin">[13]Settings!$B$12</definedName>
    <definedName name="Days">[8]Names!$C$179</definedName>
    <definedName name="Days_per_half">[5]Assum!$E$26</definedName>
    <definedName name="Days_per_year">[5]Assum!$E$24</definedName>
    <definedName name="Days_Period">[10]Calcs!$I$11:$AV$11</definedName>
    <definedName name="Days_Year">'[14]2.Inputs'!$E$109</definedName>
    <definedName name="DaysInPeriod">[15]Assumptions!$I$23:$BB$23</definedName>
    <definedName name="DaysInYear">[15]Assumptions!$I$23:$BB$23</definedName>
    <definedName name="DcB">'[16]Дин. оборотн. ср-в!!!'!$B$17+'[16]Дин. оборотн. ср-в!!!'!$B$18+'[16]Дин. оборотн. ср-в!!!'!$B$19+'[16]Дин. оборотн. ср-в!!!'!$B$20</definedName>
    <definedName name="DcF">'[16]Дин. оборотн. ср-в!!!'!$F$17+'[16]Дин. оборотн. ср-в!!!'!$F$18+'[16]Дин. оборотн. ср-в!!!'!$F$19+'[16]Дин. оборотн. ср-в!!!'!$F$20</definedName>
    <definedName name="Debtors">[5]Acct!$G$148:$BN$148</definedName>
    <definedName name="Deprecation">#REF!</definedName>
    <definedName name="Deprecation2">#REF!</definedName>
    <definedName name="Depreciation_book">[5]Invest!$G$89:$BN$89</definedName>
    <definedName name="DF">'[16]Дин. оборотн. ср-в!!!'!$F$25+'[16]Дин. оборотн. ср-в!!!'!$F$26+'[16]Дин. оборотн. ср-в!!!'!$F$27+'[16]Дин. оборотн. ср-в!!!'!$F$28+'[16]Дин. оборотн. ср-в!!!'!$F$29+'[16]Дин. оборотн. ср-в!!!'!$F$30+'[16]Дин. оборотн. ср-в!!!'!$F$31</definedName>
    <definedName name="DG">'[16]Дин. оборотн. ср-в!!!'!$B$25+'[16]Дин. оборотн. ср-в!!!'!$B$26+'[16]Дин. оборотн. ср-в!!!'!$B$27+'[16]Дин. оборотн. ср-в!!!'!$B$28+'[16]Дин. оборотн. ср-в!!!'!$B$29+'[16]Дин. оборотн. ср-в!!!'!$B$30+'[16]Дин. оборотн. ср-в!!!'!$B$31</definedName>
    <definedName name="DIF_PAY_Capital">#REF!</definedName>
    <definedName name="DIF_PAY_N">#REF!</definedName>
    <definedName name="DIF_PAY_Percent">#REF!</definedName>
    <definedName name="Discont">#REF!</definedName>
    <definedName name="Dividends">[5]Acct!$G$36:$BN$36</definedName>
    <definedName name="DPB">'[6]Анализ и БЭ'!$D$12</definedName>
    <definedName name="DTA">[5]Tax!$G$108:$BN$108</definedName>
    <definedName name="DTL">[5]Tax!$G$109:$BN$109</definedName>
    <definedName name="Duration">#REF!</definedName>
    <definedName name="E">'[17]C-1'!#REF!</definedName>
    <definedName name="Ed.">#REF!</definedName>
    <definedName name="ed_izm">[13]Settings!$B$6</definedName>
    <definedName name="EffIncrease">[18]Sup!#REF!</definedName>
    <definedName name="EQ">[19]Финансирование!$D$24</definedName>
    <definedName name="ERROR">[8]Data!$C$231</definedName>
    <definedName name="EUR">[20]Свод!$C$9</definedName>
    <definedName name="Eur_rate">[5]Assum!$G$86:$BN$86</definedName>
    <definedName name="EURO">'[21]Осн. пара'!$C$8</definedName>
    <definedName name="Excel_BuiltIn__FilterDatabase_1">#N/A</definedName>
    <definedName name="Excel_BuiltIn__FilterDatabase_2">#N/A</definedName>
    <definedName name="Excel_BuiltIn__FilterDatabase_3">#N/A</definedName>
    <definedName name="Excel_BuiltIn_Print_Area_1">#N/A</definedName>
    <definedName name="Excel_BuiltIn_Print_Area_1_1">"$#ССЫЛ!.$A$1:$I$303"</definedName>
    <definedName name="Excel_BuiltIn_Print_Area_2">#N/A</definedName>
    <definedName name="Excel_BuiltIn_Print_Area_2_1">"$#ССЫЛ!.$A$1:$I$114"</definedName>
    <definedName name="Excel_BuiltIn_Print_Area_3">#N/A</definedName>
    <definedName name="Excel_BuiltIn_Print_Area_3_1">"$#ССЫЛ!.$A$1:$I$303"</definedName>
    <definedName name="Excel_BuiltIn_Print_Titles_1">#N/A</definedName>
    <definedName name="Excel_BuiltIn_Print_Titles_2">#N/A</definedName>
    <definedName name="Excel_BuiltIn_Print_Titles_3">#N/A</definedName>
    <definedName name="expenses">#REF!</definedName>
    <definedName name="first_half">[8]Data!$C$13</definedName>
    <definedName name="First_year_of_Concession">[8]Data!$C$12</definedName>
    <definedName name="FixedAssets">[5]Invest!$G$90:$BN$90</definedName>
    <definedName name="fx">[15]Assumptions!$I$29:$BB$29</definedName>
    <definedName name="FX_rate">[5]Assum!$G$84:$BN$84</definedName>
    <definedName name="FxEURUSD">#REF!</definedName>
    <definedName name="FxUSDRUB">#REF!</definedName>
    <definedName name="ghghvb">#REF!</definedName>
    <definedName name="GR_PRC_DayInMonth">#REF!</definedName>
    <definedName name="GR_PRC_DayInMonth_1">#REF!</definedName>
    <definedName name="GR_PRC_DayInYear">#REF!</definedName>
    <definedName name="GR_PRC_DayInYear_1">#REF!</definedName>
    <definedName name="GR_PRC_Kapital">#REF!</definedName>
    <definedName name="GR_PRC_Kapital_1">#REF!</definedName>
    <definedName name="GR_PRC_Month">#REF!</definedName>
    <definedName name="GR_PRC_Month_1">#REF!</definedName>
    <definedName name="GR_PRC_Percent">#REF!</definedName>
    <definedName name="GR_PRC_Percent_1">#REF!</definedName>
    <definedName name="Halfs">[8]Data!$C$235:$C$236</definedName>
    <definedName name="Header1" hidden="1">IF(COUNTA(#REF!)=0,0,INDEX(#REF!,MATCH(ROW(#REF!),#REF!,TRUE)))+1</definedName>
    <definedName name="Header2" hidden="1">[22]!Header1-1 &amp; "." &amp; MAX(1,COUNTA(INDEX(#REF!,MATCH([22]!Header1-1,#REF!,FALSE)):#REF!))</definedName>
    <definedName name="Hours">[8]Names!$C$180</definedName>
    <definedName name="id_budj_iis">#REF!</definedName>
    <definedName name="id_budj_last">#REF!</definedName>
    <definedName name="id_iis">#REF!</definedName>
    <definedName name="id_last">#REF!</definedName>
    <definedName name="IDPB">'[23]Анализ и БЭ'!$D$18</definedName>
    <definedName name="II">[6]Калькулятор!$E$37</definedName>
    <definedName name="IIRR">'[23]ОПУ и ДП'!$D$95</definedName>
    <definedName name="imush1">[2]Главн!$D$44</definedName>
    <definedName name="imush2">[2]Главн!$E$44</definedName>
    <definedName name="imush3">[2]Главн!$F$44</definedName>
    <definedName name="imush4">[2]Главн!$G$44</definedName>
    <definedName name="imush5">[2]Главн!$H$44</definedName>
    <definedName name="imush6">[2]Главн!$I$44</definedName>
    <definedName name="imush7">[2]Главн!$J$44</definedName>
    <definedName name="imush8">[2]Главн!$K$44</definedName>
    <definedName name="index">#REF!</definedName>
    <definedName name="inf">[2]Главн!$C$35</definedName>
    <definedName name="inflation">[24]ЭксплутацЗатраты!$D$17</definedName>
    <definedName name="inflation_2">[25]OpEx!$C$34</definedName>
    <definedName name="InflationIndex">[5]Assum!$G$83:$BN$83</definedName>
    <definedName name="INPV">'[23]ОПУ и ДП'!$D$94</definedName>
    <definedName name="Intangibles">[5]Invest!$G$183:$BN$183</definedName>
    <definedName name="Interest">#REF!</definedName>
    <definedName name="IntInflator">#REF!</definedName>
    <definedName name="IPB">'[7]Анализ и БЭ'!$D$34</definedName>
    <definedName name="IPI">'[7]ОПУ и ДП'!$D$96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'[6]ОПУ и ДП'!$D$72</definedName>
    <definedName name="kk">#REF!</definedName>
    <definedName name="kurs">#REF!</definedName>
    <definedName name="kurs2">[2]Главн!$C$31</definedName>
    <definedName name="Last">#REF!</definedName>
    <definedName name="length">[5]Map!$D$21</definedName>
    <definedName name="lgot1">[2]Главн!$D$41</definedName>
    <definedName name="lgot2">[2]Главн!$E$41</definedName>
    <definedName name="lgot3">[2]Главн!$F$41</definedName>
    <definedName name="lgot4">[2]Главн!$G$41</definedName>
    <definedName name="lgot5">[2]Главн!$H$41</definedName>
    <definedName name="LLL">#REF!</definedName>
    <definedName name="Loan_draw_down">[8]Data!$B$142:$C$148</definedName>
    <definedName name="m">#REF!</definedName>
    <definedName name="Major_maint_table">[26]CAPEX!#REF!</definedName>
    <definedName name="mas_3">#REF!</definedName>
    <definedName name="mas_4">#REF!</definedName>
    <definedName name="MasterCheck">[15]Checks!$G$7</definedName>
    <definedName name="Millions">[5]Assum!$E$19</definedName>
    <definedName name="mln">[10]Inputs!$E$156</definedName>
    <definedName name="Model_End">[10]Calcs!$I$16:$AV$16</definedName>
    <definedName name="Model_Start">[27]Inputs!$E$10</definedName>
    <definedName name="ModelStartDate">[15]Assumptions!$E$19</definedName>
    <definedName name="ModelTitle">[15]Assumptions!$D$11</definedName>
    <definedName name="Months_Qtr">[10]Inputs!$E$153</definedName>
    <definedName name="Months_Yr">[10]Inputs!$E$151</definedName>
    <definedName name="name">#REF!</definedName>
    <definedName name="ncf_last">#REF!</definedName>
    <definedName name="ncf_lastiis">#REF!</definedName>
    <definedName name="ncf_lastподьем">#REF!</definedName>
    <definedName name="nper">#REF!</definedName>
    <definedName name="NPV">'[6]ОПУ и ДП'!$D$71</definedName>
    <definedName name="nvp_">#REF!</definedName>
    <definedName name="nvp_a">#REF!</definedName>
    <definedName name="nvp_last">#REF!</definedName>
    <definedName name="oipo">[28]Sup!#REF!</definedName>
    <definedName name="OK">[8]Data!$B$231</definedName>
    <definedName name="OPEX">[5]Ops!$G$144:$BN$144</definedName>
    <definedName name="Ops_End">[10]Inputs!$E$16</definedName>
    <definedName name="Ops_Period">[10]Calcs!$I$8:$AV$8</definedName>
    <definedName name="Ops_Start">[10]Inputs!$E$14</definedName>
    <definedName name="PB">'[6]Анализ и БЭ'!$D$11</definedName>
    <definedName name="PBT">[5]Acct!$G$30:$BN$30</definedName>
    <definedName name="PE">[19]Финансирование!$D$24</definedName>
    <definedName name="Period">[15]Assumptions!$I$20:$BB$20</definedName>
    <definedName name="PI">'[6]ОПУ и ДП'!$D$73</definedName>
    <definedName name="PPPC">#REF!</definedName>
    <definedName name="prepay">#REF!</definedName>
    <definedName name="PrevDate">[13]Settings!$B$11</definedName>
    <definedName name="price">#REF!</definedName>
    <definedName name="ProfitTax">#REF!</definedName>
    <definedName name="Project">[15]Assumptions!$D$10</definedName>
    <definedName name="PVBI">'[23]Анализ и БЭ'!$D$45</definedName>
    <definedName name="PVBO">'[23]Анализ и БЭ'!$D$44</definedName>
    <definedName name="Q1_2018">#REF!</definedName>
    <definedName name="Qtrs_Yr">[10]Inputs!$E$152</definedName>
    <definedName name="raw">#REF!</definedName>
    <definedName name="RE">#REF!</definedName>
    <definedName name="remont">[2]Амортиз!$F$125</definedName>
    <definedName name="RF">#REF!</definedName>
    <definedName name="RFR">[11]Предположения!$C$37</definedName>
    <definedName name="rfrf">#REF!</definedName>
    <definedName name="risks">[29]Sup!#REF!</definedName>
    <definedName name="ROE">'[7]ОПУ и ДП'!$D$95</definedName>
    <definedName name="RRE">[6]Предположения!$C$31</definedName>
    <definedName name="RUR">[20]Свод!#REF!</definedName>
    <definedName name="SnrDebt_Interest">[30]ExecSum!$D$17</definedName>
    <definedName name="sp">'[31]Data-in'!$B$1381</definedName>
    <definedName name="Staff_costs">[5]Ops!$G$134:$BN$134</definedName>
    <definedName name="Status">[32]Лист2!$C$2:$C$6</definedName>
    <definedName name="Subs_End">[10]Calcs!#REF!</definedName>
    <definedName name="Tax">#REF!</definedName>
    <definedName name="Tax_CF">[5]Tax!$G$73:$BN$73</definedName>
    <definedName name="Tax_PL">[5]Tax!$G$57:$BN$57</definedName>
    <definedName name="TGL">#REF!</definedName>
    <definedName name="thousand">[10]Inputs!$E$155</definedName>
    <definedName name="Thousands">[5]Assum!$E$17</definedName>
    <definedName name="TII">'[11]Вводные данные'!$D$27</definedName>
    <definedName name="title">[33]данные!$A$1</definedName>
    <definedName name="Tolerance">[15]Assumptions!$D$14</definedName>
    <definedName name="TTI">'[6]Анализ и БЭ'!#REF!</definedName>
    <definedName name="TTO">'[6]Анализ и БЭ'!#REF!</definedName>
    <definedName name="TTP">#REF!</definedName>
    <definedName name="Turnover">[5]Ops!$G$122:$BN$122</definedName>
    <definedName name="Units">[8]Data!$B$168:$B$186</definedName>
    <definedName name="USD">#REF!</definedName>
    <definedName name="ValuationDate">[15]Assumptions!$E$40</definedName>
    <definedName name="value">#REF!</definedName>
    <definedName name="valuta">[2]Главн!$C$21</definedName>
    <definedName name="valuta2">[2]Главн!$C$19</definedName>
    <definedName name="var">[12]СВОД!$C$3</definedName>
    <definedName name="Variant">'[34]Бюджет тек. затрат'!$A$4:$A$7</definedName>
    <definedName name="Vat">#REF!</definedName>
    <definedName name="VATEF">[4]Предположения!$D$31</definedName>
    <definedName name="volume">#REF!</definedName>
    <definedName name="WACC">[6]Предположения!$C$34</definedName>
    <definedName name="WACC_Eki">[35]Assumptions!$E$78</definedName>
    <definedName name="WACC_Maik">[35]Assumptions!$F$78</definedName>
    <definedName name="WE">#REF!</definedName>
    <definedName name="y_2023">#REF!</definedName>
    <definedName name="year">#REF!</definedName>
    <definedName name="YearEnd">[15]Assumptions!$I$22:$BB$22</definedName>
    <definedName name="YearStart">[15]Assumptions!$I$21:$BB$21</definedName>
    <definedName name="Z_9D8A7FE8_EB32_11D6_AAD8_00E04C390749_.wvu.Cols" hidden="1">#REF!</definedName>
    <definedName name="А2">#REF!</definedName>
    <definedName name="А31">#REF!</definedName>
    <definedName name="А40">'[36]A-6'!$B$56</definedName>
    <definedName name="АвПокуп">#REF!</definedName>
    <definedName name="АвПокуп1">#REF!</definedName>
    <definedName name="АвПост">#REF!</definedName>
    <definedName name="АвПост1">#REF!</definedName>
    <definedName name="автовышка">#REF!</definedName>
    <definedName name="адзукщ9578шк">#REF!</definedName>
    <definedName name="адм">#REF!</definedName>
    <definedName name="Амортизация">[37]Имитация!$C$16</definedName>
    <definedName name="апимапавс">#REF!</definedName>
    <definedName name="апукукп">#REF!</definedName>
    <definedName name="арекет">#REF!</definedName>
    <definedName name="арекет2">#REF!</definedName>
    <definedName name="арекет3">#REF!</definedName>
    <definedName name="арнййзфс">#REF!</definedName>
    <definedName name="арэк">#REF!</definedName>
    <definedName name="арэк2">#REF!</definedName>
    <definedName name="арэк3">#REF!</definedName>
    <definedName name="аскарбеков">#REF!</definedName>
    <definedName name="аств">#REF!</definedName>
    <definedName name="аств2">#REF!</definedName>
    <definedName name="аств3">#REF!</definedName>
    <definedName name="атырау">#REF!</definedName>
    <definedName name="атырау2">#REF!</definedName>
    <definedName name="атырау3">#REF!</definedName>
    <definedName name="баланс_стоимость">'[38]объекты обществаКокшетау'!#REF!</definedName>
    <definedName name="бву">'[39]Фин. пок-ли'!$C$17</definedName>
    <definedName name="бижв">#REF!</definedName>
    <definedName name="БЛРаздел1">[40]Форма2!$C$19:$C$24,[40]Форма2!$E$19:$F$24,[40]Форма2!$D$26:$F$31,[40]Форма2!$C$33:$C$38,[40]Форма2!$E$33:$F$38,[40]Форма2!$D$40:$F$43,[40]Форма2!$C$45:$C$48,[40]Форма2!$E$45:$F$48,[40]Форма2!$C$19</definedName>
    <definedName name="БЛРаздел2">[40]Форма2!$C$51:$C$58,[40]Форма2!$E$51:$F$58,[40]Форма2!$C$60:$C$63,[40]Форма2!$E$60:$F$63,[40]Форма2!$C$65:$C$67,[40]Форма2!$E$65:$F$67,[40]Форма2!$C$51</definedName>
    <definedName name="БЛРаздел3">[40]Форма2!$C$70:$C$72,[40]Форма2!$D$73:$F$73,[40]Форма2!$E$70:$F$72,[40]Форма2!$C$75:$C$77,[40]Форма2!$E$75:$F$77,[40]Форма2!$C$79:$C$82,[40]Форма2!$E$79:$F$82,[40]Форма2!$C$84:$C$86,[40]Форма2!$E$84:$F$86,[40]Форма2!$C$88:$C$89,[40]Форма2!$E$88:$F$89,[40]Форма2!$C$70</definedName>
    <definedName name="БЛРаздел4">[40]Форма2!$E$106:$F$107,[40]Форма2!$C$106:$C$107,[40]Форма2!$E$102:$F$104,[40]Форма2!$C$102:$C$104,[40]Форма2!$C$97:$C$100,[40]Форма2!$E$97:$F$100,[40]Форма2!$E$92:$F$95,[40]Форма2!$C$92:$C$95,[40]Форма2!$C$92</definedName>
    <definedName name="БЛРаздел5">[40]Форма2!$C$113:$C$114,[40]Форма2!$D$110:$F$112,[40]Форма2!$E$113:$F$114,[40]Форма2!$D$115:$F$115,[40]Форма2!$D$117:$F$119,[40]Форма2!$D$121:$F$122,[40]Форма2!$D$124:$F$126,[40]Форма2!$D$110</definedName>
    <definedName name="БЛРаздел6">[40]Форма2!$D$129:$F$132,[40]Форма2!$D$134:$F$135,[40]Форма2!$D$137:$F$140,[40]Форма2!$D$142:$F$144,[40]Форма2!$D$146:$F$150,[40]Форма2!$D$152:$F$154,[40]Форма2!$D$156:$F$162,[40]Форма2!$D$129</definedName>
    <definedName name="БЛРаздел7">[40]Форма2!$D$179:$F$185,[40]Форма2!$D$175:$F$177,[40]Форма2!$D$165:$F$173,[40]Форма2!$D$165</definedName>
    <definedName name="БЛРаздел8">[40]Форма2!$E$200:$F$207,[40]Форма2!$C$200:$C$207,[40]Форма2!$E$189:$F$198,[40]Форма2!$C$189:$C$198,[40]Форма2!$E$188:$F$188,[40]Форма2!$C$188</definedName>
    <definedName name="БЛРаздел9">[40]Форма2!$E$234:$F$237,[40]Форма2!$C$234:$C$237,[40]Форма2!$E$224:$F$232,[40]Форма2!$C$224:$C$232,[40]Форма2!$E$223:$F$223,[40]Форма2!$C$223,[40]Форма2!$E$217:$F$221,[40]Форма2!$C$217:$C$221,[40]Форма2!$E$210:$F$215,[40]Форма2!$C$210:$C$215,[40]Форма2!$C$210</definedName>
    <definedName name="БПДанные">[40]Форма1!$C$22:$D$33,[40]Форма1!$C$36:$D$48,[40]Форма1!$C$22</definedName>
    <definedName name="ВА1">#REF!</definedName>
    <definedName name="вавасв">#REF!</definedName>
    <definedName name="Вал">#REF!</definedName>
    <definedName name="ВалП1">#REF!</definedName>
    <definedName name="Валюта">#REF!</definedName>
    <definedName name="вариант">#REF!</definedName>
    <definedName name="ВВ">'[41]Вводные данные'!$D$20</definedName>
    <definedName name="вввввввв">#REF!</definedName>
    <definedName name="Введенные_значения">IF(Сум_кред*Проц_став*Год_кред*Нач_кред&gt;0,1,0)</definedName>
    <definedName name="вид_инвестиций">[2]Invest!$C$7:$C$240</definedName>
    <definedName name="Вита_осн">'[42]ИсхД+'!$A$2</definedName>
    <definedName name="ВК">#REF!</definedName>
    <definedName name="ВК1">#REF!</definedName>
    <definedName name="ВК2">#REF!</definedName>
    <definedName name="ВК3">#REF!</definedName>
    <definedName name="вложения">'[2]Граф кап инвестиц'!$B$8:$B$12</definedName>
    <definedName name="вода">#REF!</definedName>
    <definedName name="ВПР">#REF!</definedName>
    <definedName name="ВР1">#REF!</definedName>
    <definedName name="ВРО1">#REF!</definedName>
    <definedName name="всего_долл">'[38]объекты обществаКокшетау'!#REF!</definedName>
    <definedName name="газсервис">#REF!</definedName>
    <definedName name="газсервис2">#REF!</definedName>
    <definedName name="газсервис3">#REF!</definedName>
    <definedName name="год">[43]Осн.показ!$D$8</definedName>
    <definedName name="Год_кред">#REF!</definedName>
    <definedName name="год1">[43]Осн.показ!$D$9</definedName>
    <definedName name="ГотПр">#REF!</definedName>
    <definedName name="ГотПр1">#REF!</definedName>
    <definedName name="д">#REF!</definedName>
    <definedName name="Данные">#REF!</definedName>
    <definedName name="Дат_опл">#REF!</definedName>
    <definedName name="Дат_плат">DATE(YEAR(Нач_кред),MONTH(Нач_кред)+Payment_Number,DAY(Нач_кред))</definedName>
    <definedName name="два_полугодия">'[37]Вводные данные'!$E$11</definedName>
    <definedName name="ДГОБМП">[23]Предположения!$D$76</definedName>
    <definedName name="Дебиторская__задолженность">'[16]Дин. оборотн. ср-в!!!'!$B$25+'[16]Дин. оборотн. ср-в!!!'!$B$26+'[16]Дин. оборотн. ср-в!!!'!$B$27+'[16]Дин. оборотн. ср-в!!!'!$B$28+'[16]Дин. оборотн. ср-в!!!'!$B$29+'[16]Дин. оборотн. ср-в!!!'!$B$30+'[16]Дин. оборотн. ср-в!!!'!$B$31+'[16]Дин. оборотн. ср-в!!!'!$B$33</definedName>
    <definedName name="Дебиторская_задолженность_Ст_сть_всех_активов">'[16]Уровень показателей!!!'!$E$18/'[16]Б3!!!'!$C$58</definedName>
    <definedName name="ДЗ">#REF!</definedName>
    <definedName name="ДЗ1">#REF!</definedName>
    <definedName name="дз1к">[16]Б1!$D$34+[16]Б1!$D$35+[16]Б1!$D$36+[16]Б1!$D$37+[16]Б1!$D$38+[16]Б1!$D$39</definedName>
    <definedName name="дз1н">[16]Б1!$C$34++[16]Б1!$C$35+[16]Б1!$C$36+[16]Б1!$C$37+[16]Б1!$C$38+[16]Б1!$C$39</definedName>
    <definedName name="дз94к">[16]Б1!#REF!+[16]Б1!#REF!+[16]Б1!#REF!+[16]Б1!#REF!+[16]Б1!#REF!+[16]Б1!#REF!+[16]Б1!#REF!</definedName>
    <definedName name="дз94н">[16]Б1!#REF!+[16]Б1!#REF!+[16]Б1!#REF!+[16]Б1!#REF!+[16]Б1!#REF!+[16]Б1!#REF!+[16]Б1!#REF!</definedName>
    <definedName name="Дисконт">[37]Имитация!$C$18</definedName>
    <definedName name="ДК1">#REF!</definedName>
    <definedName name="длшррргшщр">#REF!</definedName>
    <definedName name="Добыча">'[44]Добыча нефти4'!$F$11:$Q$12</definedName>
    <definedName name="Доз5">#REF!</definedName>
    <definedName name="дол">#REF!</definedName>
    <definedName name="долл">#REF!</definedName>
    <definedName name="доллар">[45]Параметры!$C$18</definedName>
    <definedName name="Доп_плат">#REF!</definedName>
    <definedName name="дох">#REF!</definedName>
    <definedName name="ДСК">[6]Предположения!$C$22</definedName>
    <definedName name="дсша">#REF!</definedName>
    <definedName name="дт">'[46]пост. пар.'!$C$13</definedName>
    <definedName name="евр">[43]Осн.показ!$D$13</definedName>
    <definedName name="евро">#REF!</definedName>
    <definedName name="ждд">#REF!</definedName>
    <definedName name="Зап">#REF!</definedName>
    <definedName name="Зап1">#REF!</definedName>
    <definedName name="зщщ_зщш">#REF!</definedName>
    <definedName name="и">#REF!</definedName>
    <definedName name="имущество">[47]Допущения!$K$11</definedName>
    <definedName name="имя">#REF!</definedName>
    <definedName name="Инвестиции">[1]Главн!$F$46</definedName>
    <definedName name="Инвестиция">[37]Имитация!$C$20</definedName>
    <definedName name="Инвестор1">[2]Главн!$C$8</definedName>
    <definedName name="Инвестор2">[2]Главн!$C$9</definedName>
    <definedName name="Инвестор3">[2]Главн!$C$10</definedName>
    <definedName name="инжинер_монтаж">#REF!</definedName>
    <definedName name="инициатор">[2]Главн!$C$7</definedName>
    <definedName name="Инт">#REF!</definedName>
    <definedName name="Инфляция">#REF!</definedName>
    <definedName name="ИПН">[6]Предположения!$C$6</definedName>
    <definedName name="итого_в_долл">'[38]объекты обществаКокшетау'!#REF!</definedName>
    <definedName name="июль">#REF!</definedName>
    <definedName name="йк4у">#REF!</definedName>
    <definedName name="Каламкас">'[48]объекты обществаКокшетау'!#REF!</definedName>
    <definedName name="КИЗ">[6]Калькулятор!$E$17</definedName>
    <definedName name="кк">'[49]объекты обществаКокшетау'!#REF!</definedName>
    <definedName name="кндс">#REF!</definedName>
    <definedName name="кндс1">[50]Исх!$C$8</definedName>
    <definedName name="Код">#REF!</definedName>
    <definedName name="ком">#REF!</definedName>
    <definedName name="комм2">#REF!</definedName>
    <definedName name="компресс">#REF!</definedName>
    <definedName name="Кон_сал">#REF!</definedName>
    <definedName name="КПН">[6]Предположения!$C$7</definedName>
    <definedName name="кре">#REF!</definedName>
    <definedName name="Кредит_перераб">[51]Общ_Д!#REF!</definedName>
    <definedName name="Кредит_произв">[51]Общ_Д!#REF!</definedName>
    <definedName name="Кредит_производство">[51]Общ_Д!#REF!</definedName>
    <definedName name="кросс_курс">'[52]Приобретение О.С.'!$F$3</definedName>
    <definedName name="кулагер">#REF!</definedName>
    <definedName name="кулагер2">#REF!</definedName>
    <definedName name="кулагер3">#REF!</definedName>
    <definedName name="кумыскаскыр">#REF!</definedName>
    <definedName name="кумыскаскыр2">#REF!</definedName>
    <definedName name="кумыскаскыр3">#REF!</definedName>
    <definedName name="курс">#REF!</definedName>
    <definedName name="курс_доллара_сегодня">[53]константы!$A$15</definedName>
    <definedName name="курс_НБРК">'[38]объекты обществаКокшетау'!#REF!</definedName>
    <definedName name="Курс1">#REF!</definedName>
    <definedName name="Курс10">[54]Финпоки1!#REF!</definedName>
    <definedName name="курсСША">#REF!</definedName>
    <definedName name="лллллщш">#REF!</definedName>
    <definedName name="лываоргмпфшир">#REF!</definedName>
    <definedName name="магаз">[55]DATA!$D$14:$D$76</definedName>
    <definedName name="макс_кск">#REF!</definedName>
    <definedName name="макс_паркинг">#REF!</definedName>
    <definedName name="макс_УК">#REF!</definedName>
    <definedName name="мамама">#REF!</definedName>
    <definedName name="масма">#REF!</definedName>
    <definedName name="мес">[56]Осн.показ!$C$10</definedName>
    <definedName name="мес1">[56]Осн.показ!$C$11</definedName>
    <definedName name="Месяц">"'file:///C:/Users/UserPC/Desktop/%D0%9C%D0%B0%D0%B4%D0%B8%D0%BD%D0%B0/%D0%B0%D0%BF%D1%82%D0%B5%D0%BA%D0%B0/%D0%BE%D0%BF%D0%B5%D1%80%D0%B1%D0%BB%D0%BE%D0%BA%20%D0%BA%D1%85/%D1%84%D0%BE%D1%80%D0%BC%D0%B0%20%D0%B7%D0%B0%D1%8F%D0%B2%D0%BA%D0%B8%20%D0%BD%D0%B0"</definedName>
    <definedName name="месяцев_в_году">'[57]2.Inputs'!$E$10</definedName>
    <definedName name="металлоформы">#REF!</definedName>
    <definedName name="МЗП">[6]Предположения!$C$11</definedName>
    <definedName name="мин_кск">#REF!</definedName>
    <definedName name="мин_паркинг">#REF!</definedName>
    <definedName name="мин_УК">#REF!</definedName>
    <definedName name="МОВ">#REF!</definedName>
    <definedName name="монтаж">#REF!</definedName>
    <definedName name="Мощность">[58]Параметры!$C$2</definedName>
    <definedName name="МРП">[19]Предположения!#REF!</definedName>
    <definedName name="мсмамам">'[59]Data-in'!$B$1381</definedName>
    <definedName name="мфдгу">#REF!</definedName>
    <definedName name="Название">#REF!</definedName>
    <definedName name="Наименование">'[20]План пр-ва'!$A$6</definedName>
    <definedName name="Нак_проц">#REF!</definedName>
    <definedName name="Налог">#REF!</definedName>
    <definedName name="Наполнение">#REF!</definedName>
    <definedName name="наценка">[6]Калькулятор!$E$16</definedName>
    <definedName name="Нач_кред">#REF!</definedName>
    <definedName name="Нач_сал">#REF!</definedName>
    <definedName name="ндс">#REF!</definedName>
    <definedName name="НДС_2003">'[52]Перем. затраты'!$P$48</definedName>
    <definedName name="НДС1">[50]Исх!$C$7</definedName>
    <definedName name="НДС2">'[52]Перем. затраты'!$P$47</definedName>
    <definedName name="недвижКонсал">#REF!</definedName>
    <definedName name="недвижКонсал2">#REF!</definedName>
    <definedName name="недвижКонсал3">#REF!</definedName>
    <definedName name="Ном_плат">#REF!</definedName>
    <definedName name="НПр">#REF!</definedName>
    <definedName name="НПр1">#REF!</definedName>
    <definedName name="о">[15]Assumptions!$E$78</definedName>
    <definedName name="обм">#REF!</definedName>
    <definedName name="оборудование_ЖД">#REF!</definedName>
    <definedName name="общ">#REF!</definedName>
    <definedName name="объем">'[21]Осн. пара'!$C$6</definedName>
    <definedName name="объемгод">'[21]Осн. пара'!$C$7</definedName>
    <definedName name="ОбъемМакс">[37]Имитация!$D$5</definedName>
    <definedName name="ОбъемМин">[37]Имитация!$C$5</definedName>
    <definedName name="ооо">#REF!</definedName>
    <definedName name="ОПВ">[6]Предположения!$C$8</definedName>
    <definedName name="опер_период">'[57]2.Inputs'!$E$6</definedName>
    <definedName name="орнпшдп">#REF!</definedName>
    <definedName name="ОС">[56]ОС!$D$27</definedName>
    <definedName name="Осн_сум">#REF!</definedName>
    <definedName name="отдел">[60]DATA!$D$14:$D$76</definedName>
    <definedName name="отрасль">[16]Б1!$B$6</definedName>
    <definedName name="паопа">#REF!</definedName>
    <definedName name="папапа">#REF!</definedName>
    <definedName name="пер">#REF!</definedName>
    <definedName name="ПеременныеМакс">[37]Имитация!$D$6</definedName>
    <definedName name="ПеременныеМин">[37]Имитация!$C$6</definedName>
    <definedName name="ПерЗ1">#REF!</definedName>
    <definedName name="период_концессии">'[37]Вводные данные'!$E$14</definedName>
    <definedName name="ПЗД">[6]Калькулятор!$E$19</definedName>
    <definedName name="План_доп_плат">#REF!</definedName>
    <definedName name="План_мес_плат">#REF!</definedName>
    <definedName name="План_плат">#REF!</definedName>
    <definedName name="План_производства">#REF!</definedName>
    <definedName name="План_проц_став">#REF!</definedName>
    <definedName name="плорп">#REF!</definedName>
    <definedName name="ПМ">'[52]Перем. затраты'!$K$3</definedName>
    <definedName name="подстанция">#REF!</definedName>
    <definedName name="Показатели">[2]Главн!$C$2</definedName>
    <definedName name="Полн_печ">#REF!</definedName>
    <definedName name="пос">#REF!</definedName>
    <definedName name="ПОсД1">#REF!</definedName>
    <definedName name="Посл_строка">IF(Введенные_значения,Строка_заг+Число_платежей,Строка_заг)</definedName>
    <definedName name="пост">#REF!</definedName>
    <definedName name="ПостЗ1">#REF!</definedName>
    <definedName name="Постоянные">[37]Имитация!$C$15</definedName>
    <definedName name="ппппппппппппп">#REF!</definedName>
    <definedName name="ппппре">#REF!</definedName>
    <definedName name="приозернвй">#REF!</definedName>
    <definedName name="приозерный2">#REF!</definedName>
    <definedName name="приозерный3">#REF!</definedName>
    <definedName name="Проц">#REF!</definedName>
    <definedName name="Проц_став">#REF!</definedName>
    <definedName name="Проч">#REF!</definedName>
    <definedName name="Проч1">#REF!</definedName>
    <definedName name="раб">'[61]Осн. пара'!$C$9</definedName>
    <definedName name="Разовые_макс">[37]Имитация!$D$7</definedName>
    <definedName name="Разовые_мин">[37]Имитация!$C$7</definedName>
    <definedName name="рас">[56]Осн.показ!$C$12</definedName>
    <definedName name="рбу">#REF!</definedName>
    <definedName name="рос">'[46]пост. пар.'!$C$8</definedName>
    <definedName name="рпаекккккккыыч">#REF!</definedName>
    <definedName name="руб">#REF!</definedName>
    <definedName name="с">#REF!</definedName>
    <definedName name="Сброс_обл_печати">OFFSET(Полн_печ,0,0,Посл_строка)</definedName>
    <definedName name="СГО">[6]Калькулятор!$E$23</definedName>
    <definedName name="себ">#REF!</definedName>
    <definedName name="ситиПалас">#REF!</definedName>
    <definedName name="ситиПалас2">#REF!</definedName>
    <definedName name="ситиПалас3">#REF!</definedName>
    <definedName name="склад_продукции">#REF!</definedName>
    <definedName name="склад_цем">#REF!</definedName>
    <definedName name="СМР">#REF!</definedName>
    <definedName name="СОГЧП">#REF!</definedName>
    <definedName name="СОПВ">[23]Предположения!$E$17</definedName>
    <definedName name="соц1">[2]Главн!$D$48</definedName>
    <definedName name="соц2">[2]Главн!$E$48</definedName>
    <definedName name="соц3">[2]Главн!$F$48</definedName>
    <definedName name="соц4">[2]Главн!$G$48</definedName>
    <definedName name="соц5">[2]Главн!$H$48</definedName>
    <definedName name="спецодежда">#REF!</definedName>
    <definedName name="Срок">[37]Имитация!$C$19</definedName>
    <definedName name="Срок_инвестиций1">[2]Invest!$I$7:$I$240</definedName>
    <definedName name="Срок_инвестиций2">[2]Invest!$M$7:$M$240</definedName>
    <definedName name="Срок_инвестиций3">[2]Invest!$Q$7:$Q$240</definedName>
    <definedName name="Срок_инвестиций4">[2]Invest!$U$7:$U$240</definedName>
    <definedName name="СрокПроекта">#REF!</definedName>
    <definedName name="СРФ">[6]Предположения!$C$23</definedName>
    <definedName name="ССН">[6]Предположения!$C$9</definedName>
    <definedName name="ССО">[6]Предположения!$C$10</definedName>
    <definedName name="ст">[62]Норм!$F$9</definedName>
    <definedName name="СтавкаПроцента1">'[63]L-1'!$B$5</definedName>
    <definedName name="СтавкаПроцентаG">'[63]G-1'!$B$5</definedName>
    <definedName name="стоимость_в_долларах">'[38]объекты обществаКокшетау'!#REF!</definedName>
    <definedName name="Строка_заг">ROW(#REF!)</definedName>
    <definedName name="Сум_кред">#REF!</definedName>
    <definedName name="Сум_плат">#REF!</definedName>
    <definedName name="Сум_проц">#REF!</definedName>
    <definedName name="Сумма_инвест1">[2]Invest!$H$7:$H$240</definedName>
    <definedName name="Сумма_инвест2">[2]Invest!$L$7:$L$240</definedName>
    <definedName name="Сумма_инвест3">[2]Invest!$P$7:$P$240</definedName>
    <definedName name="Сумма_инвест4">[2]Invest!$T$7:$T$240</definedName>
    <definedName name="СуммаКредита1">'[63]L-1'!$B$2</definedName>
    <definedName name="СчОпл">#REF!</definedName>
    <definedName name="СчОпл1">#REF!</definedName>
    <definedName name="Сырье">#REF!</definedName>
    <definedName name="ТА1">#REF!</definedName>
    <definedName name="таблица_цен">[53]константы!$F$2:$G$30</definedName>
    <definedName name="тг">#REF!</definedName>
    <definedName name="Тов">#REF!</definedName>
    <definedName name="Тов1">#REF!</definedName>
    <definedName name="ТовРеал1">#REF!</definedName>
    <definedName name="траф" hidden="1">#N/A</definedName>
    <definedName name="ТТТ111111111111111111">#REF!</definedName>
    <definedName name="уау">#REF!</definedName>
    <definedName name="убн96">'[42]Нетто3!!!'!$A$2</definedName>
    <definedName name="УК1">#REF!</definedName>
    <definedName name="услуги">'[59]Data-in'!$B$1381</definedName>
    <definedName name="ф">#REF!</definedName>
    <definedName name="фдущшсты">#REF!</definedName>
    <definedName name="Фин">#REF!</definedName>
    <definedName name="фин_вода">#REF!</definedName>
    <definedName name="фин_подъем">#REF!</definedName>
    <definedName name="ФИНДС">[23]НДС!$D$21</definedName>
    <definedName name="ФОНДС">[23]НДС!$D$22</definedName>
    <definedName name="ФОТ">#REF!</definedName>
    <definedName name="фффот">[15]Assumptions!$I$23:$BB$23</definedName>
    <definedName name="цен">[43]Осн.показ!$D$5</definedName>
    <definedName name="цен1">[56]Осн.показ!$C$6</definedName>
    <definedName name="цена">'[6]Список МТ'!#REF!</definedName>
    <definedName name="Цена_бобов">[51]Дох!#REF!</definedName>
    <definedName name="Цена_реал">#REF!</definedName>
    <definedName name="цена1">'[21]Осн. пара'!$C$13</definedName>
    <definedName name="ЦенаМакс">[37]Имитация!#REF!</definedName>
    <definedName name="ЦенаМин">[37]Имитация!#REF!</definedName>
    <definedName name="цех_пби">#REF!</definedName>
    <definedName name="цр">#REF!</definedName>
    <definedName name="цц_пп">#REF!</definedName>
    <definedName name="Чис_плат_в_год">#REF!</definedName>
    <definedName name="число_камер">[64]ИнвестЗатраты!$C$7</definedName>
    <definedName name="число_перекрестков">[64]ИнвестЗатраты!$C$6</definedName>
    <definedName name="Число_платежей">MATCH(0.01,Кон_сал,-1)+1</definedName>
    <definedName name="число_рад">[64]ИнвестЗатраты!$C$5</definedName>
    <definedName name="ывфф">#REF!</definedName>
    <definedName name="ыыжф">#REF!</definedName>
    <definedName name="ььььяяяф">#REF!</definedName>
    <definedName name="эаээъъ\э">#REF!</definedName>
    <definedName name="Экспорт_Объемы_добычи">#REF!</definedName>
    <definedName name="Экспорт_Поставки_нефти">'[44]поставка сравн13'!$A$1:$Q$30</definedName>
    <definedName name="я">#REF!</definedName>
    <definedName name="Дат_плат" localSheetId="0">DATE(YEAR([0]!Нач_кред),MONTH([0]!Нач_кред)+Payment_Number,DAY([0]!Нач_кред))</definedName>
    <definedName name="число_камер" localSheetId="4">[24]ИнвестЗатраты!$C$7</definedName>
    <definedName name="число_перекрестков" localSheetId="4">[24]ИнвестЗатраты!$C$6</definedName>
    <definedName name="число_рад" localSheetId="4">[24]ИнвестЗатраты!$C$5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_р_._-;\-* #,##0_р_._-;_-* &quot;-&quot;??_р_._-;_-@_-"/>
    <numFmt numFmtId="165" formatCode="_-* #,##0_-;\-* #,##0_-;_-* &quot;-&quot;??_-;_-@_-"/>
    <numFmt numFmtId="166" formatCode="_-* #,##0.00_р_._-;\-* #,##0.00_р_._-;_-* &quot;-&quot;??_р_._-;_-@_-"/>
    <numFmt numFmtId="167" formatCode="#,##0\ _₽"/>
    <numFmt numFmtId="168" formatCode="_(* #,##0_);_(* \(#,##0\);_(* &quot;-&quot;??_);_(@_)"/>
    <numFmt numFmtId="169" formatCode="#,##0_-;\ \(#,##0\);_-* &quot;-&quot;??;_-@_-"/>
    <numFmt numFmtId="170" formatCode="&quot;Fail&quot;;;&quot;Ok&quot;"/>
    <numFmt numFmtId="171" formatCode="_-* #,##0.00\ _₽_-;\-* #,##0.00\ _₽_-;_-* &quot;-&quot;??\ _₽_-;_-@_-"/>
  </numFmts>
  <fonts count="30"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Helv"/>
      <sz val="10"/>
    </font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Arial"/>
      <charset val="204"/>
      <family val="2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charset val="204"/>
      <family val="2"/>
      <color indexed="8"/>
      <sz val="11"/>
    </font>
    <font>
      <name val="Calibri"/>
      <family val="2"/>
      <color rgb="FFFF0000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theme="10"/>
      <sz val="11"/>
      <u val="single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3F3F3F"/>
      <sz val="10"/>
      <scheme val="minor"/>
    </font>
    <font>
      <name val="Calibri"/>
      <family val="2"/>
      <color rgb="FF006100"/>
      <sz val="10"/>
      <scheme val="minor"/>
    </font>
    <font>
      <name val="Arial"/>
      <charset val="204"/>
      <family val="2"/>
      <color indexed="23"/>
      <sz val="10"/>
    </font>
    <font>
      <name val="Arial"/>
      <charset val="204"/>
      <family val="2"/>
      <color indexed="59"/>
      <sz val="10"/>
    </font>
    <font>
      <name val="Helvetica-Narrow"/>
      <family val="2"/>
      <color indexed="55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Calibri"/>
      <family val="2"/>
      <b val="1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sz val="11"/>
    </font>
    <font>
      <name val="Calibri"/>
      <charset val="204"/>
      <family val="2"/>
      <sz val="8"/>
      <scheme val="minor"/>
    </font>
    <font>
      <name val="Times New Roman"/>
      <charset val="204"/>
      <family val="1"/>
      <b val="1"/>
      <sz val="11"/>
    </font>
  </fonts>
  <fills count="11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theme="0" tint="-0.1499679555650502"/>
        <bgColor indexed="64"/>
      </patternFill>
    </fill>
    <fill>
      <patternFill patternType="lightGray">
        <bgColor indexed="9"/>
      </patternFill>
    </fill>
    <fill>
      <patternFill patternType="solid">
        <fgColor theme="0" tint="-0.0499893185216834"/>
        <bgColor indexed="64"/>
      </patternFill>
    </fill>
    <fill>
      <patternFill patternType="lightUp">
        <fgColor theme="0" tint="-0.249946592608417"/>
        <bgColor indexed="65"/>
      </patternFill>
    </fill>
    <fill>
      <patternFill patternType="solid">
        <fgColor theme="6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rgb="FFC5D9F1"/>
      </left>
      <right style="medium">
        <color rgb="FFC5D9F1"/>
      </right>
      <top style="medium">
        <color rgb="FFC5D9F1"/>
      </top>
      <bottom style="medium">
        <color rgb="FFC5D9F1"/>
      </bottom>
      <diagonal/>
    </border>
    <border>
      <left/>
      <right style="medium">
        <color rgb="FFC5D9F1"/>
      </right>
      <top style="medium">
        <color rgb="FFC5D9F1"/>
      </top>
      <bottom style="medium">
        <color rgb="FFC5D9F1"/>
      </bottom>
      <diagonal/>
    </border>
    <border>
      <left style="medium">
        <color rgb="FFC5D9F1"/>
      </left>
      <right style="medium">
        <color rgb="FFC5D9F1"/>
      </right>
      <top/>
      <bottom style="medium">
        <color rgb="FFC5D9F1"/>
      </bottom>
      <diagonal/>
    </border>
    <border>
      <left/>
      <right style="medium">
        <color rgb="FFC5D9F1"/>
      </right>
      <top/>
      <bottom style="medium">
        <color rgb="FFC5D9F1"/>
      </bottom>
      <diagonal/>
    </border>
    <border>
      <left style="medium">
        <color rgb="FFC5D9F1"/>
      </left>
      <right/>
      <top style="medium">
        <color rgb="FFC5D9F1"/>
      </top>
      <bottom style="medium">
        <color rgb="FFC5D9F1"/>
      </bottom>
      <diagonal/>
    </border>
    <border>
      <left/>
      <right/>
      <top style="medium">
        <color rgb="FFC5D9F1"/>
      </top>
      <bottom style="medium">
        <color rgb="FFC5D9F1"/>
      </bottom>
      <diagonal/>
    </border>
    <border>
      <left style="thin">
        <color theme="3" tint="0.7999816888943144"/>
      </left>
      <right style="thin">
        <color theme="3" tint="0.7999816888943144"/>
      </right>
      <top style="thin">
        <color theme="3" tint="0.7999816888943144"/>
      </top>
      <bottom style="thin">
        <color theme="3" tint="0.7999816888943144"/>
      </bottom>
      <diagonal/>
    </border>
    <border>
      <left style="thin">
        <color theme="3" tint="0.7999816888943144"/>
      </left>
      <right style="thin">
        <color theme="3" tint="0.7999816888943144"/>
      </right>
      <top/>
      <bottom/>
      <diagonal/>
    </border>
    <border>
      <left/>
      <right/>
      <top style="medium">
        <color rgb="FFC5D9F1"/>
      </top>
      <bottom/>
      <diagonal/>
    </border>
    <border>
      <left/>
      <right style="medium">
        <color rgb="FFC5D9F1"/>
      </right>
      <top style="medium">
        <color rgb="FFC5D9F1"/>
      </top>
      <bottom/>
      <diagonal/>
    </border>
  </borders>
  <cellStyleXfs count="26">
    <xf numFmtId="0" fontId="4" fillId="0" borderId="0"/>
    <xf numFmtId="0" fontId="5" fillId="0" borderId="0"/>
    <xf numFmtId="0" fontId="3" fillId="0" borderId="0"/>
    <xf numFmtId="0" fontId="3" fillId="0" borderId="0"/>
    <xf numFmtId="0" fontId="2" fillId="0" borderId="0"/>
    <xf numFmtId="166" fontId="4" fillId="0" borderId="0"/>
    <xf numFmtId="166" fontId="3" fillId="0" borderId="0"/>
    <xf numFmtId="0" fontId="7" fillId="0" borderId="0"/>
    <xf numFmtId="43" fontId="9" fillId="0" borderId="0"/>
    <xf numFmtId="0" fontId="12" fillId="0" borderId="0" applyAlignment="1" applyProtection="1">
      <alignment vertical="top"/>
      <protection locked="0" hidden="0"/>
    </xf>
    <xf numFmtId="0" fontId="14" fillId="0" borderId="0"/>
    <xf numFmtId="0" fontId="6" fillId="0" borderId="0"/>
    <xf numFmtId="166" fontId="4" fillId="0" borderId="0"/>
    <xf numFmtId="0" fontId="14" fillId="0" borderId="0"/>
    <xf numFmtId="0" fontId="15" fillId="0" borderId="0"/>
    <xf numFmtId="43" fontId="4" fillId="0" borderId="0"/>
    <xf numFmtId="0" fontId="1" fillId="6" borderId="14" applyAlignment="1">
      <alignment horizontal="right"/>
    </xf>
    <xf numFmtId="0" fontId="16" fillId="3" borderId="12"/>
    <xf numFmtId="0" fontId="17" fillId="5" borderId="0"/>
    <xf numFmtId="0" fontId="1" fillId="7" borderId="13"/>
    <xf numFmtId="168" fontId="1" fillId="8" borderId="13" applyAlignment="1">
      <alignment horizontal="right"/>
    </xf>
    <xf numFmtId="169" fontId="18" fillId="9" borderId="15"/>
    <xf numFmtId="0" fontId="19" fillId="4" borderId="16"/>
    <xf numFmtId="170" fontId="20" fillId="0" borderId="14" applyAlignment="1">
      <alignment horizontal="center"/>
    </xf>
    <xf numFmtId="43" fontId="4" fillId="0" borderId="0"/>
    <xf numFmtId="171" fontId="4" fillId="0" borderId="0"/>
  </cellStyleXfs>
  <cellXfs count="93">
    <xf numFmtId="0" fontId="0" fillId="0" borderId="0" pivotButton="0" quotePrefix="0" xfId="0"/>
    <xf numFmtId="0" fontId="7" fillId="2" borderId="1" pivotButton="0" quotePrefix="0" xfId="7"/>
    <xf numFmtId="0" fontId="7" fillId="0" borderId="0" pivotButton="0" quotePrefix="0" xfId="7"/>
    <xf numFmtId="0" fontId="7" fillId="0" borderId="1" pivotButton="0" quotePrefix="0" xfId="7"/>
    <xf numFmtId="9" fontId="7" fillId="0" borderId="1" pivotButton="0" quotePrefix="0" xfId="7"/>
    <xf numFmtId="3" fontId="7" fillId="0" borderId="1" pivotButton="0" quotePrefix="0" xfId="7"/>
    <xf numFmtId="0" fontId="7" fillId="0" borderId="4" pivotButton="0" quotePrefix="0" xfId="7"/>
    <xf numFmtId="0" fontId="8" fillId="0" borderId="5" pivotButton="0" quotePrefix="0" xfId="7"/>
    <xf numFmtId="0" fontId="8" fillId="0" borderId="6" pivotButton="0" quotePrefix="0" xfId="7"/>
    <xf numFmtId="0" fontId="7" fillId="0" borderId="6" pivotButton="0" quotePrefix="0" xfId="7"/>
    <xf numFmtId="0" fontId="7" fillId="0" borderId="7" pivotButton="0" quotePrefix="0" xfId="7"/>
    <xf numFmtId="0" fontId="8" fillId="0" borderId="3" applyAlignment="1" pivotButton="0" quotePrefix="0" xfId="7">
      <alignment horizontal="left" indent="1"/>
    </xf>
    <xf numFmtId="0" fontId="8" fillId="0" borderId="1" pivotButton="0" quotePrefix="0" xfId="7"/>
    <xf numFmtId="0" fontId="7" fillId="0" borderId="8" pivotButton="0" quotePrefix="0" xfId="7"/>
    <xf numFmtId="0" fontId="8" fillId="0" borderId="3" pivotButton="0" quotePrefix="0" xfId="7"/>
    <xf numFmtId="164" fontId="7" fillId="0" borderId="1" pivotButton="0" quotePrefix="0" xfId="8"/>
    <xf numFmtId="164" fontId="7" fillId="0" borderId="8" pivotButton="0" quotePrefix="0" xfId="8"/>
    <xf numFmtId="3" fontId="7" fillId="0" borderId="8" pivotButton="0" quotePrefix="0" xfId="7"/>
    <xf numFmtId="0" fontId="8" fillId="0" borderId="9" pivotButton="0" quotePrefix="0" xfId="7"/>
    <xf numFmtId="0" fontId="8" fillId="0" borderId="10" pivotButton="0" quotePrefix="0" xfId="7"/>
    <xf numFmtId="0" fontId="7" fillId="0" borderId="10" pivotButton="0" quotePrefix="0" xfId="7"/>
    <xf numFmtId="3" fontId="7" fillId="0" borderId="10" pivotButton="0" quotePrefix="0" xfId="7"/>
    <xf numFmtId="3" fontId="7" fillId="0" borderId="11" pivotButton="0" quotePrefix="0" xfId="7"/>
    <xf numFmtId="0" fontId="7" fillId="0" borderId="3" pivotButton="0" quotePrefix="0" xfId="7"/>
    <xf numFmtId="0" fontId="8" fillId="0" borderId="9" applyAlignment="1" pivotButton="0" quotePrefix="0" xfId="7">
      <alignment horizontal="left" indent="1"/>
    </xf>
    <xf numFmtId="0" fontId="7" fillId="0" borderId="2" pivotButton="0" quotePrefix="0" xfId="7"/>
    <xf numFmtId="9" fontId="10" fillId="0" borderId="1" pivotButton="0" quotePrefix="0" xfId="7"/>
    <xf numFmtId="165" fontId="7" fillId="0" borderId="1" pivotButton="0" quotePrefix="0" xfId="8"/>
    <xf numFmtId="0" fontId="11" fillId="0" borderId="1" pivotButton="0" quotePrefix="0" xfId="7"/>
    <xf numFmtId="165" fontId="11" fillId="0" borderId="1" pivotButton="0" quotePrefix="0" xfId="8"/>
    <xf numFmtId="165" fontId="7" fillId="0" borderId="1" pivotButton="0" quotePrefix="0" xfId="7"/>
    <xf numFmtId="0" fontId="11" fillId="0" borderId="0" pivotButton="0" quotePrefix="0" xfId="7"/>
    <xf numFmtId="165" fontId="7" fillId="0" borderId="0" pivotButton="0" quotePrefix="0" xfId="7"/>
    <xf numFmtId="4" fontId="7" fillId="0" borderId="0" pivotButton="0" quotePrefix="0" xfId="7"/>
    <xf numFmtId="0" fontId="12" fillId="0" borderId="0" applyAlignment="1" pivotButton="0" quotePrefix="0" xfId="9">
      <alignment vertical="top"/>
    </xf>
    <xf numFmtId="0" fontId="7" fillId="0" borderId="0" applyAlignment="1" pivotButton="0" quotePrefix="0" xfId="7">
      <alignment vertical="top"/>
    </xf>
    <xf numFmtId="0" fontId="13" fillId="0" borderId="0" applyAlignment="1" pivotButton="0" quotePrefix="0" xfId="7">
      <alignment vertical="top"/>
    </xf>
    <xf numFmtId="0" fontId="13" fillId="0" borderId="0" pivotButton="0" quotePrefix="0" xfId="7"/>
    <xf numFmtId="3" fontId="13" fillId="0" borderId="0" applyAlignment="1" pivotButton="0" quotePrefix="0" xfId="7">
      <alignment vertical="top"/>
    </xf>
    <xf numFmtId="1" fontId="13" fillId="0" borderId="0" applyAlignment="1" pivotButton="0" quotePrefix="0" xfId="7">
      <alignment vertical="top"/>
    </xf>
    <xf numFmtId="3" fontId="7" fillId="0" borderId="0" pivotButton="0" quotePrefix="0" xfId="7"/>
    <xf numFmtId="165" fontId="11" fillId="0" borderId="0" pivotButton="0" quotePrefix="0" xfId="7"/>
    <xf numFmtId="0" fontId="21" fillId="0" borderId="17" applyAlignment="1" pivotButton="0" quotePrefix="0" xfId="0">
      <alignment horizontal="justify" vertical="center" wrapText="1"/>
    </xf>
    <xf numFmtId="0" fontId="21" fillId="0" borderId="18" applyAlignment="1" pivotButton="0" quotePrefix="0" xfId="0">
      <alignment horizontal="center" vertical="center" wrapText="1"/>
    </xf>
    <xf numFmtId="0" fontId="22" fillId="0" borderId="19" applyAlignment="1" pivotButton="0" quotePrefix="0" xfId="0">
      <alignment horizontal="justify" vertical="center" wrapText="1"/>
    </xf>
    <xf numFmtId="0" fontId="22" fillId="0" borderId="20" applyAlignment="1" pivotButton="0" quotePrefix="0" xfId="0">
      <alignment horizontal="center" vertical="center" wrapText="1"/>
    </xf>
    <xf numFmtId="0" fontId="21" fillId="0" borderId="20" applyAlignment="1" pivotButton="0" quotePrefix="0" xfId="0">
      <alignment horizontal="center" vertical="center" wrapText="1"/>
    </xf>
    <xf numFmtId="4" fontId="21" fillId="0" borderId="20" applyAlignment="1" pivotButton="0" quotePrefix="0" xfId="0">
      <alignment horizontal="center" vertical="center" wrapText="1"/>
    </xf>
    <xf numFmtId="166" fontId="22" fillId="0" borderId="20" applyAlignment="1" pivotButton="0" quotePrefix="0" xfId="5">
      <alignment horizontal="center" vertical="center" wrapText="1"/>
    </xf>
    <xf numFmtId="0" fontId="0" fillId="0" borderId="23" pivotButton="0" quotePrefix="0" xfId="0"/>
    <xf numFmtId="0" fontId="1" fillId="0" borderId="23" applyAlignment="1" pivotButton="0" quotePrefix="0" xfId="5">
      <alignment horizontal="left" vertical="top" wrapText="1"/>
    </xf>
    <xf numFmtId="0" fontId="1" fillId="0" borderId="23" applyAlignment="1" pivotButton="0" quotePrefix="0" xfId="5">
      <alignment horizontal="left" vertical="top"/>
    </xf>
    <xf numFmtId="164" fontId="14" fillId="0" borderId="23" pivotButton="0" quotePrefix="0" xfId="0"/>
    <xf numFmtId="0" fontId="24" fillId="0" borderId="23" applyAlignment="1" pivotButton="0" quotePrefix="0" xfId="0">
      <alignment horizontal="center"/>
    </xf>
    <xf numFmtId="164" fontId="24" fillId="0" borderId="23" applyAlignment="1" pivotButton="0" quotePrefix="0" xfId="0">
      <alignment horizontal="center"/>
    </xf>
    <xf numFmtId="0" fontId="1" fillId="0" borderId="24" applyAlignment="1" pivotButton="0" quotePrefix="0" xfId="5">
      <alignment horizontal="left" vertical="top"/>
    </xf>
    <xf numFmtId="164" fontId="14" fillId="0" borderId="24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167" fontId="25" fillId="0" borderId="0" pivotButton="0" quotePrefix="0" xfId="0"/>
    <xf numFmtId="164" fontId="25" fillId="0" borderId="0" applyAlignment="1" pivotButton="0" quotePrefix="0" xfId="5">
      <alignment horizontal="left"/>
    </xf>
    <xf numFmtId="0" fontId="0" fillId="0" borderId="0" applyAlignment="1" pivotButton="0" quotePrefix="0" xfId="0">
      <alignment horizontal="center"/>
    </xf>
    <xf numFmtId="0" fontId="23" fillId="0" borderId="21" applyAlignment="1" pivotButton="0" quotePrefix="0" xfId="0">
      <alignment vertical="center" wrapText="1"/>
    </xf>
    <xf numFmtId="0" fontId="23" fillId="0" borderId="22" applyAlignment="1" pivotButton="0" quotePrefix="0" xfId="0">
      <alignment vertical="center" wrapText="1"/>
    </xf>
    <xf numFmtId="0" fontId="23" fillId="0" borderId="18" applyAlignment="1" pivotButton="0" quotePrefix="0" xfId="0">
      <alignment vertical="center" wrapText="1"/>
    </xf>
    <xf numFmtId="0" fontId="7" fillId="0" borderId="0" applyAlignment="1" pivotButton="0" quotePrefix="0" xfId="7">
      <alignment horizontal="left" vertical="top"/>
    </xf>
    <xf numFmtId="0" fontId="26" fillId="0" borderId="0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 wrapText="1"/>
    </xf>
    <xf numFmtId="164" fontId="27" fillId="0" borderId="0" applyAlignment="1" pivotButton="0" quotePrefix="0" xfId="5">
      <alignment horizontal="left" vertical="center" wrapText="1"/>
    </xf>
    <xf numFmtId="164" fontId="27" fillId="0" borderId="0" applyAlignment="1" pivotButton="0" quotePrefix="0" xfId="5">
      <alignment vertical="center" wrapText="1"/>
    </xf>
    <xf numFmtId="164" fontId="27" fillId="0" borderId="0" applyAlignment="1" pivotButton="0" quotePrefix="0" xfId="5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 wrapText="1"/>
    </xf>
    <xf numFmtId="164" fontId="25" fillId="0" borderId="0" applyAlignment="1" pivotButton="0" quotePrefix="0" xfId="5">
      <alignment horizontal="left"/>
    </xf>
    <xf numFmtId="167" fontId="25" fillId="0" borderId="0" pivotButton="0" quotePrefix="0" xfId="0"/>
    <xf numFmtId="164" fontId="27" fillId="0" borderId="0" applyAlignment="1" pivotButton="0" quotePrefix="0" xfId="5">
      <alignment horizontal="left" vertical="center" wrapText="1"/>
    </xf>
    <xf numFmtId="164" fontId="27" fillId="0" borderId="0" applyAlignment="1" pivotButton="0" quotePrefix="0" xfId="5">
      <alignment vertical="center" wrapText="1"/>
    </xf>
    <xf numFmtId="164" fontId="27" fillId="0" borderId="0" applyAlignment="1" pivotButton="0" quotePrefix="0" xfId="5">
      <alignment horizontal="center" vertical="center" wrapText="1"/>
    </xf>
    <xf numFmtId="166" fontId="22" fillId="0" borderId="20" applyAlignment="1" pivotButton="0" quotePrefix="0" xfId="5">
      <alignment horizontal="center" vertical="center" wrapText="1"/>
    </xf>
    <xf numFmtId="0" fontId="23" fillId="0" borderId="17" applyAlignment="1" pivotButton="0" quotePrefix="0" xfId="0">
      <alignment vertical="center" wrapText="1"/>
    </xf>
    <xf numFmtId="0" fontId="0" fillId="0" borderId="22" pivotButton="0" quotePrefix="0" xfId="0"/>
    <xf numFmtId="0" fontId="0" fillId="0" borderId="18" pivotButton="0" quotePrefix="0" xfId="0"/>
    <xf numFmtId="164" fontId="24" fillId="0" borderId="23" applyAlignment="1" pivotButton="0" quotePrefix="0" xfId="0">
      <alignment horizontal="center"/>
    </xf>
    <xf numFmtId="164" fontId="14" fillId="0" borderId="23" pivotButton="0" quotePrefix="0" xfId="0"/>
    <xf numFmtId="164" fontId="14" fillId="0" borderId="24" pivotButton="0" quotePrefix="0" xfId="0"/>
    <xf numFmtId="164" fontId="7" fillId="0" borderId="1" pivotButton="0" quotePrefix="0" xfId="8"/>
    <xf numFmtId="164" fontId="7" fillId="0" borderId="8" pivotButton="0" quotePrefix="0" xfId="8"/>
    <xf numFmtId="165" fontId="7" fillId="0" borderId="1" pivotButton="0" quotePrefix="0" xfId="8"/>
    <xf numFmtId="165" fontId="11" fillId="0" borderId="1" pivotButton="0" quotePrefix="0" xfId="8"/>
    <xf numFmtId="165" fontId="7" fillId="0" borderId="1" pivotButton="0" quotePrefix="0" xfId="7"/>
    <xf numFmtId="165" fontId="11" fillId="0" borderId="0" pivotButton="0" quotePrefix="0" xfId="7"/>
    <xf numFmtId="165" fontId="7" fillId="0" borderId="0" pivotButton="0" quotePrefix="0" xfId="7"/>
  </cellXfs>
  <cellStyles count="26">
    <cellStyle name="Обычный" xfId="0" builtinId="0"/>
    <cellStyle name="Гиперссылка 2" xfId="1"/>
    <cellStyle name="Обычный 19" xfId="2"/>
    <cellStyle name="Обычный 2 2" xfId="3"/>
    <cellStyle name="Стиль 1" xfId="4"/>
    <cellStyle name="Финансовый" xfId="5" builtinId="3"/>
    <cellStyle name="Финансовый 2 10" xfId="6"/>
    <cellStyle name="Обычный 20" xfId="7"/>
    <cellStyle name="Финансовый 2" xfId="8"/>
    <cellStyle name="Гиперссылка 3" xfId="9"/>
    <cellStyle name="Обычный 4" xfId="10"/>
    <cellStyle name="Обычный 3 2" xfId="11"/>
    <cellStyle name="Финансовый 3" xfId="12"/>
    <cellStyle name="Обычный 2" xfId="13"/>
    <cellStyle name="Обычный 3" xfId="14"/>
    <cellStyle name="Финансовый 4" xfId="15"/>
    <cellStyle name="Technical_Input" xfId="16"/>
    <cellStyle name="Вывод 2" xfId="17"/>
    <cellStyle name="Хороший 2" xfId="18"/>
    <cellStyle name="Empty_Cell" xfId="19"/>
    <cellStyle name="Summary_Line" xfId="20"/>
    <cellStyle name="Flag" xfId="21"/>
    <cellStyle name="OffSheet" xfId="22"/>
    <cellStyle name="Check" xfId="23"/>
    <cellStyle name="Финансовый 20" xfId="24"/>
    <cellStyle name="Финансовый 5" xfId="25"/>
  </cellStyles>
  <dxfs count="11"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auto="1"/>
        <extend val="0"/>
        <sz val="11"/>
        <vertAlign val="baseline"/>
      </font>
      <numFmt numFmtId="167" formatCode="_-* #,##0_р_._-;\-* #,##0_р_._-;_-* &quot;-&quot;??_р_._-;_-@_-"/>
      <fill>
        <patternFill>
          <fgColor indexed="64"/>
          <bgColor indexed="65"/>
        </patternFill>
      </fill>
      <alignment horizontal="center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auto="1"/>
        <extend val="0"/>
        <sz val="11"/>
        <vertAlign val="baseline"/>
      </font>
      <numFmt numFmtId="167" formatCode="_-* #,##0_р_._-;\-* #,##0_р_._-;_-* &quot;-&quot;??_р_._-;_-@_-"/>
      <fill>
        <patternFill>
          <fgColor indexed="64"/>
          <bgColor indexed="65"/>
        </patternFill>
      </fill>
      <alignment horizontal="general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auto="1"/>
        <extend val="0"/>
        <sz val="11"/>
        <vertAlign val="baseline"/>
      </font>
      <numFmt numFmtId="167" formatCode="_-* #,##0_р_._-;\-* #,##0_р_._-;_-* &quot;-&quot;??_р_._-;_-@_-"/>
      <fill>
        <patternFill>
          <fgColor indexed="64"/>
          <bgColor indexed="65"/>
        </patternFill>
      </fill>
      <alignment horizontal="left" vertical="center" wrapText="1"/>
    </dxf>
    <dxf>
      <font>
        <name val="Times New Roman"/>
        <charset val="204"/>
        <family val="1"/>
        <strike val="0"/>
        <outline val="0"/>
        <shadow val="0"/>
        <condense val="0"/>
        <color auto="1"/>
        <extend val="0"/>
        <sz val="11"/>
        <vertAlign val="baseline"/>
      </font>
      <numFmt numFmtId="167" formatCode="_-* #,##0_р_._-;\-* #,##0_р_._-;_-* &quot;-&quot;??_р_._-;_-@_-"/>
      <fill>
        <patternFill>
          <fgColor indexed="64"/>
          <bgColor indexed="65"/>
        </patternFill>
      </fill>
      <alignment horizontal="left" vertical="center" wrapText="1"/>
    </dxf>
    <dxf>
      <font>
        <name val="Times New Roman"/>
        <charset val="204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externalLink" Target="/xl/externalLinks/externalLink3.xml" Id="rId10" /><Relationship Type="http://schemas.openxmlformats.org/officeDocument/2006/relationships/externalLink" Target="/xl/externalLinks/externalLink4.xml" Id="rId11" /><Relationship Type="http://schemas.openxmlformats.org/officeDocument/2006/relationships/externalLink" Target="/xl/externalLinks/externalLink5.xml" Id="rId12" /><Relationship Type="http://schemas.openxmlformats.org/officeDocument/2006/relationships/externalLink" Target="/xl/externalLinks/externalLink6.xml" Id="rId13" /><Relationship Type="http://schemas.openxmlformats.org/officeDocument/2006/relationships/externalLink" Target="/xl/externalLinks/externalLink7.xml" Id="rId14" /><Relationship Type="http://schemas.openxmlformats.org/officeDocument/2006/relationships/externalLink" Target="/xl/externalLinks/externalLink8.xml" Id="rId15" /><Relationship Type="http://schemas.openxmlformats.org/officeDocument/2006/relationships/externalLink" Target="/xl/externalLinks/externalLink9.xml" Id="rId16" /><Relationship Type="http://schemas.openxmlformats.org/officeDocument/2006/relationships/externalLink" Target="/xl/externalLinks/externalLink10.xml" Id="rId17" /><Relationship Type="http://schemas.openxmlformats.org/officeDocument/2006/relationships/externalLink" Target="/xl/externalLinks/externalLink11.xml" Id="rId18" /><Relationship Type="http://schemas.openxmlformats.org/officeDocument/2006/relationships/externalLink" Target="/xl/externalLinks/externalLink12.xml" Id="rId19" /><Relationship Type="http://schemas.openxmlformats.org/officeDocument/2006/relationships/externalLink" Target="/xl/externalLinks/externalLink13.xml" Id="rId20" /><Relationship Type="http://schemas.openxmlformats.org/officeDocument/2006/relationships/externalLink" Target="/xl/externalLinks/externalLink14.xml" Id="rId21" /><Relationship Type="http://schemas.openxmlformats.org/officeDocument/2006/relationships/externalLink" Target="/xl/externalLinks/externalLink15.xml" Id="rId22" /><Relationship Type="http://schemas.openxmlformats.org/officeDocument/2006/relationships/externalLink" Target="/xl/externalLinks/externalLink16.xml" Id="rId23" /><Relationship Type="http://schemas.openxmlformats.org/officeDocument/2006/relationships/externalLink" Target="/xl/externalLinks/externalLink17.xml" Id="rId24" /><Relationship Type="http://schemas.openxmlformats.org/officeDocument/2006/relationships/externalLink" Target="/xl/externalLinks/externalLink18.xml" Id="rId25" /><Relationship Type="http://schemas.openxmlformats.org/officeDocument/2006/relationships/externalLink" Target="/xl/externalLinks/externalLink19.xml" Id="rId26" /><Relationship Type="http://schemas.openxmlformats.org/officeDocument/2006/relationships/externalLink" Target="/xl/externalLinks/externalLink20.xml" Id="rId27" /><Relationship Type="http://schemas.openxmlformats.org/officeDocument/2006/relationships/externalLink" Target="/xl/externalLinks/externalLink21.xml" Id="rId28" /><Relationship Type="http://schemas.openxmlformats.org/officeDocument/2006/relationships/externalLink" Target="/xl/externalLinks/externalLink22.xml" Id="rId29" /><Relationship Type="http://schemas.openxmlformats.org/officeDocument/2006/relationships/externalLink" Target="/xl/externalLinks/externalLink23.xml" Id="rId30" /><Relationship Type="http://schemas.openxmlformats.org/officeDocument/2006/relationships/externalLink" Target="/xl/externalLinks/externalLink24.xml" Id="rId31" /><Relationship Type="http://schemas.openxmlformats.org/officeDocument/2006/relationships/externalLink" Target="/xl/externalLinks/externalLink25.xml" Id="rId32" /><Relationship Type="http://schemas.openxmlformats.org/officeDocument/2006/relationships/externalLink" Target="/xl/externalLinks/externalLink26.xml" Id="rId33" /><Relationship Type="http://schemas.openxmlformats.org/officeDocument/2006/relationships/externalLink" Target="/xl/externalLinks/externalLink27.xml" Id="rId34" /><Relationship Type="http://schemas.openxmlformats.org/officeDocument/2006/relationships/externalLink" Target="/xl/externalLinks/externalLink28.xml" Id="rId35" /><Relationship Type="http://schemas.openxmlformats.org/officeDocument/2006/relationships/externalLink" Target="/xl/externalLinks/externalLink29.xml" Id="rId36" /><Relationship Type="http://schemas.openxmlformats.org/officeDocument/2006/relationships/externalLink" Target="/xl/externalLinks/externalLink30.xml" Id="rId37" /><Relationship Type="http://schemas.openxmlformats.org/officeDocument/2006/relationships/externalLink" Target="/xl/externalLinks/externalLink31.xml" Id="rId38" /><Relationship Type="http://schemas.openxmlformats.org/officeDocument/2006/relationships/externalLink" Target="/xl/externalLinks/externalLink32.xml" Id="rId39" /><Relationship Type="http://schemas.openxmlformats.org/officeDocument/2006/relationships/externalLink" Target="/xl/externalLinks/externalLink33.xml" Id="rId40" /><Relationship Type="http://schemas.openxmlformats.org/officeDocument/2006/relationships/externalLink" Target="/xl/externalLinks/externalLink34.xml" Id="rId41" /><Relationship Type="http://schemas.openxmlformats.org/officeDocument/2006/relationships/externalLink" Target="/xl/externalLinks/externalLink35.xml" Id="rId42" /><Relationship Type="http://schemas.openxmlformats.org/officeDocument/2006/relationships/externalLink" Target="/xl/externalLinks/externalLink36.xml" Id="rId43" /><Relationship Type="http://schemas.openxmlformats.org/officeDocument/2006/relationships/externalLink" Target="/xl/externalLinks/externalLink37.xml" Id="rId44" /><Relationship Type="http://schemas.openxmlformats.org/officeDocument/2006/relationships/externalLink" Target="/xl/externalLinks/externalLink38.xml" Id="rId45" /><Relationship Type="http://schemas.openxmlformats.org/officeDocument/2006/relationships/externalLink" Target="/xl/externalLinks/externalLink39.xml" Id="rId46" /><Relationship Type="http://schemas.openxmlformats.org/officeDocument/2006/relationships/externalLink" Target="/xl/externalLinks/externalLink40.xml" Id="rId47" /><Relationship Type="http://schemas.openxmlformats.org/officeDocument/2006/relationships/externalLink" Target="/xl/externalLinks/externalLink41.xml" Id="rId48" /><Relationship Type="http://schemas.openxmlformats.org/officeDocument/2006/relationships/externalLink" Target="/xl/externalLinks/externalLink42.xml" Id="rId49" /><Relationship Type="http://schemas.openxmlformats.org/officeDocument/2006/relationships/externalLink" Target="/xl/externalLinks/externalLink43.xml" Id="rId50" /><Relationship Type="http://schemas.openxmlformats.org/officeDocument/2006/relationships/externalLink" Target="/xl/externalLinks/externalLink44.xml" Id="rId51" /><Relationship Type="http://schemas.openxmlformats.org/officeDocument/2006/relationships/externalLink" Target="/xl/externalLinks/externalLink45.xml" Id="rId52" /><Relationship Type="http://schemas.openxmlformats.org/officeDocument/2006/relationships/externalLink" Target="/xl/externalLinks/externalLink46.xml" Id="rId53" /><Relationship Type="http://schemas.openxmlformats.org/officeDocument/2006/relationships/externalLink" Target="/xl/externalLinks/externalLink47.xml" Id="rId54" /><Relationship Type="http://schemas.openxmlformats.org/officeDocument/2006/relationships/externalLink" Target="/xl/externalLinks/externalLink48.xml" Id="rId55" /><Relationship Type="http://schemas.openxmlformats.org/officeDocument/2006/relationships/externalLink" Target="/xl/externalLinks/externalLink49.xml" Id="rId56" /><Relationship Type="http://schemas.openxmlformats.org/officeDocument/2006/relationships/externalLink" Target="/xl/externalLinks/externalLink50.xml" Id="rId57" /><Relationship Type="http://schemas.openxmlformats.org/officeDocument/2006/relationships/externalLink" Target="/xl/externalLinks/externalLink51.xml" Id="rId58" /><Relationship Type="http://schemas.openxmlformats.org/officeDocument/2006/relationships/externalLink" Target="/xl/externalLinks/externalLink52.xml" Id="rId59" /><Relationship Type="http://schemas.openxmlformats.org/officeDocument/2006/relationships/externalLink" Target="/xl/externalLinks/externalLink53.xml" Id="rId60" /><Relationship Type="http://schemas.openxmlformats.org/officeDocument/2006/relationships/externalLink" Target="/xl/externalLinks/externalLink54.xml" Id="rId61" /><Relationship Type="http://schemas.openxmlformats.org/officeDocument/2006/relationships/externalLink" Target="/xl/externalLinks/externalLink55.xml" Id="rId62" /><Relationship Type="http://schemas.openxmlformats.org/officeDocument/2006/relationships/externalLink" Target="/xl/externalLinks/externalLink56.xml" Id="rId63" /><Relationship Type="http://schemas.openxmlformats.org/officeDocument/2006/relationships/externalLink" Target="/xl/externalLinks/externalLink57.xml" Id="rId64" /><Relationship Type="http://schemas.openxmlformats.org/officeDocument/2006/relationships/externalLink" Target="/xl/externalLinks/externalLink58.xml" Id="rId65" /><Relationship Type="http://schemas.openxmlformats.org/officeDocument/2006/relationships/externalLink" Target="/xl/externalLinks/externalLink59.xml" Id="rId66" /><Relationship Type="http://schemas.openxmlformats.org/officeDocument/2006/relationships/externalLink" Target="/xl/externalLinks/externalLink60.xml" Id="rId67" /><Relationship Type="http://schemas.openxmlformats.org/officeDocument/2006/relationships/externalLink" Target="/xl/externalLinks/externalLink61.xml" Id="rId68" /><Relationship Type="http://schemas.openxmlformats.org/officeDocument/2006/relationships/externalLink" Target="/xl/externalLinks/externalLink62.xml" Id="rId69" /><Relationship Type="http://schemas.openxmlformats.org/officeDocument/2006/relationships/externalLink" Target="/xl/externalLinks/externalLink63.xml" Id="rId70" /><Relationship Type="http://schemas.openxmlformats.org/officeDocument/2006/relationships/externalLink" Target="/xl/externalLinks/externalLink64.xml" Id="rId71" /><Relationship Type="http://schemas.openxmlformats.org/officeDocument/2006/relationships/styles" Target="styles.xml" Id="rId72" /><Relationship Type="http://schemas.openxmlformats.org/officeDocument/2006/relationships/theme" Target="theme/theme1.xml" Id="rId73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Desktop/&#1041;&#1080;&#1079;&#1085;&#1077;&#1089;%20&#1087;&#1083;&#1072;&#1085;&#1099;/&#1080;&#1089;&#1093;&#1086;&#1076;&#1085;&#1099;&#1077;/Documents%20and%20Settings/b_altynbai/&#1052;&#1086;&#1080;%20&#1076;&#1086;&#1082;&#1091;&#1084;&#1077;&#1085;&#1090;&#1099;/&#1052;&#1086;&#1080;%20&#1087;&#1088;&#1086;&#1077;&#1082;&#1090;&#1099;/&#1060;&#1072;&#1088;&#1084;%20&#1043;&#1083;&#1072;&#1089;&#1089;/+&#1058;&#1041;&#1054;-&#1040;&#1082;&#1090;&#1086;&#1073;&#1077;_board/&#1047;&#1072;&#1082;&#1083;&#1102;&#1095;&#1077;&#1085;&#1080;&#1077;/&#1041;&#1055;%20&#1058;&#1041;&#1054;%20&#1040;&#1082;&#1090;&#1086;&#1073;&#1077;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SPK/Desktop/Documents%20and%20Settings/b_altynbai/&#1052;&#1086;&#1080;%20&#1076;&#1086;&#1082;&#1091;&#1084;&#1077;&#1085;&#1090;&#1099;/&#1052;&#1086;&#1080;%20&#1087;&#1088;&#1086;&#1077;&#1082;&#1090;&#1099;/&#1060;&#1072;&#1088;&#1084;%20&#1043;&#1083;&#1072;&#1089;&#1089;/+&#1058;&#1041;&#1054;-&#1040;&#1082;&#1090;&#1086;&#1073;&#1077;_board/&#1047;&#1072;&#1082;&#1083;&#1102;&#1095;&#1077;&#1085;&#1080;&#1077;/&#1041;&#1055;%20&#1058;&#1041;&#1054;%20&#1040;&#1082;&#1090;&#1086;&#1073;&#1077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0-2011/65_&#1069;&#1083;&#1077;&#1074;&#1072;&#1090;&#1086;&#1088;&#1099;/_&#1056;&#1072;&#1089;&#1095;&#1077;&#1090;&#1099;/Documents%20and%20Settings/b_altynbai/&#1052;&#1086;&#1080;%20&#1076;&#1086;&#1082;&#1091;&#1084;&#1077;&#1085;&#1090;&#1099;/&#1052;&#1086;&#1080;%20&#1087;&#1088;&#1086;&#1077;&#1082;&#1090;&#1099;/&#1060;&#1072;&#1088;&#1084;%20&#1043;&#1083;&#1072;&#1089;&#1089;/+&#1058;&#1041;&#1054;-&#1040;&#1082;&#1090;&#1086;&#1073;&#1077;_board/&#1047;&#1072;&#1082;&#1083;&#1102;&#1095;&#1077;&#1085;&#1080;&#1077;/&#1041;&#1055;%20&#1058;&#1041;&#1054;%20&#1040;&#1082;&#1090;&#1086;&#1073;&#1077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A.Tcyganov/Desktop/Projects/O&amp;M%20&#1064;&#1082;&#1086;&#1083;&#1072;%20&#1076;&#1083;&#1103;%20&#1047;&#1050;&#1054;/&#1053;&#1086;&#1074;&#1072;&#1103;%20&#1087;&#1072;&#1087;&#1082;&#1072;/&#1060;&#1069;&#1052;%20&#1057;&#1077;&#1088;&#1074;&#1080;&#1089;&#1085;&#1086;&#1077;%20&#1086;&#1073;&#1089;&#1083;&#1091;&#1078;&#1080;&#1074;&#1072;&#1085;&#1080;&#1077;%20&#1096;&#1082;&#1086;&#1083;&#1099;%20&#1080;&#1084;.%20&#1050;.&#1057;&#1072;&#1090;&#1073;&#1072;&#1077;&#1074;&#1072;%20&#1082;&#1086;&#1088;&#1088;&#1077;&#1082;&#1090;&#1080;&#1088;&#1086;&#1074;&#1082;&#1072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M:\IFC%20Files\IFC%20AS\PPP%20Transaction%20Advisory\4-Kazakhstan\Almaty%20Ring%20Road%20(BAKAD)\Model\Bakad%20Almaty%20Ring%20Road%20Model_v158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Users/User/Desktop/&#1060;&#1069;&#1052;%20&#1052;&#1058;%201%20&#1085;&#1072;&#1096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Users/A.Tcyganov/Desktop/Projects/&#1055;&#1088;&#1086;&#1077;&#1082;&#1090;&#1099;%20&#1047;&#1050;&#1054;/O&amp;M%20&#1064;&#1082;&#1086;&#1083;&#1072;%20&#1076;&#1083;&#1103;%20&#1047;&#1050;&#1054;/&#1060;&#1069;&#1052;%20&#1057;&#1077;&#1088;&#1074;&#1080;&#1089;&#1085;&#1086;&#1077;%20&#1086;&#1073;&#1089;&#1083;&#1091;&#1078;&#1080;&#1074;&#1072;&#1085;&#1080;&#1077;%20&#1096;&#1082;&#1086;&#1083;&#1099;%20&#1080;&#1084;.%20&#1050;.&#1057;&#1072;&#1090;&#1073;&#1072;&#1077;&#1074;&#1072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&#1044;&#1086;&#1082;&#1091;&#1084;&#1077;&#1085;&#1090;&#1099;/&#1044;&#1050;&#1055;%20&#1040;&#1054;%20&#1062;&#1077;&#1085;&#1090;&#1088;%20&#1043;&#1063;&#1055;/&#1069;&#1082;&#1089;&#1087;&#1077;&#1088;&#1090;&#1080;&#1079;&#1072;%20&#1082;&#1086;&#1085;&#1082;&#1091;&#1088;&#1089;&#1085;&#1086;&#1081;%20&#1079;&#1072;&#1103;&#1074;&#1082;&#1080;/&#1040;&#1083;&#1084;&#1072;&#1090;&#1099;-&#1061;&#1086;&#1088;&#1075;&#1086;&#1089;/&#1087;&#1077;&#1088;&#1077;&#1075;&#1086;&#1074;&#1086;&#1088;&#1099;%20&#1040;-&#1061;/&#1092;&#1101;&#1084;%20&#1087;&#1077;&#1088;&#1077;&#1075;&#1086;&#1074;%20&#1048;&#1084;&#1087;&#1088;&#1077;&#1076;&#1078;&#1080;&#1083;&#1086;%202011/&#1092;&#1101;&#1084;%20&#1062;&#1077;&#1085;&#1090;&#1088;&#1072;%20&#1043;&#1063;&#1055;%20&#1087;&#1086;%20&#1082;&#1086;&#1084;&#1087;&#1086;&#1085;&#1077;&#1085;&#1090;&#1072;&#1084;%20&#1048;&#1084;&#1087;&#1088;&#1077;&#1076;&#1078;&#1080;&#1083;&#1086;/110420%20&#1043;&#1063;&#1055;%20_almaty%20chorgos_Kaz_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Pdc/&#1086;&#1073;&#1097;&#1080;&#1077;%20&#1076;&#1086;&#1082;&#1091;&#1084;&#1077;&#1085;&#1090;&#1099;/Documents%20and%20Settings/m_anfinogenov/&#1056;&#1072;&#1073;&#1086;&#1095;&#1080;&#1081;%20&#1089;&#1090;&#1086;&#1083;/&#1047;&#1086;&#1083;&#1086;&#1090;&#1086;&#1081;%20&#1087;&#1088;&#1080;&#1080;&#1089;&#1082;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Users/m.sagyndykova/Downloads/&#1050;&#1086;&#1087;&#1080;&#1103;%20ADB%20model_Kyzylorda_DRAFT_20180606_1700.xlsm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Users/A.Tcyganov/Desktop/Projects/O&amp;M%20&#1064;&#1082;&#1086;&#1083;&#1072;%20&#1076;&#1083;&#1103;%20&#1047;&#1050;&#1054;/&#1060;&#1069;&#1052;%20&#1057;&#1077;&#1088;&#1074;&#1080;&#1089;&#1085;&#1086;&#1077;%20&#1086;&#1073;&#1089;&#1083;&#1091;&#1078;&#1080;&#1074;&#1072;&#1085;&#1080;&#1077;%20&#1096;&#1082;&#1086;&#1083;&#1099;%20&#1080;&#1084;.%20&#1050;.&#1057;&#1072;&#1090;&#1073;&#1072;&#1077;&#1074;&#1072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Users/&#1040;&#1041;&#1052;-777-&#1043;&#1063;&#1055;/Downloads/FM_2_template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Documents%20and%20Settings/Admin/&#1056;&#1072;&#1073;&#1086;&#1095;&#1080;&#1081;%20&#1089;&#1090;&#1086;&#1083;/&#1041;&#1102;&#1076;&#1078;&#1077;&#1090;%20(&#1076;&#1077;&#1084;&#1086;)/&#1057;&#1074;&#1086;&#1076;&#1085;&#1099;&#1081;&#1041;&#1102;&#1076;&#1078;&#1077;&#1090;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Users/diana/Desktop/&#1055;&#1088;&#1086;&#1077;&#1082;&#1090;&#1099;%20&#1074;%20&#1056;&#1040;&#1041;&#1054;&#1058;&#1045;/&#1052;&#1062;&#1056;&#1048;&#1040;&#1055;%20&#1060;&#1069;&#1052;/&#1096;&#1072;&#1073;&#1083;&#1086;&#1085;&#1099;/&#1060;&#1069;&#1052;%20&#1064;&#1072;&#1073;&#1083;&#1086;&#1085;%20&#1076;&#1083;&#1103;%20&#1052;edTech.xlsm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/&#1044;&#1086;&#1082;&#1091;&#1084;&#1077;&#1085;&#1090;&#1099;/&#1044;&#1050;&#1055;%20&#1040;&#1054;%20&#1062;&#1077;&#1085;&#1090;&#1088;%20&#1043;&#1063;&#1055;/&#1052;&#1086;&#1085;&#1080;&#1090;&#1086;&#1088;&#1080;&#1085;&#1075;%20&#1054;&#1056;&#1050;&#1055;%20&#1040;&#1083;&#1084;&#1072;/2.%20&#1057;&#1077;&#1074;&#1050;&#1072;&#1079;-&#1040;&#1082;&#1090;&#1054;&#1073;&#1083;/2%20&#1060;&#1080;&#1085;&#1072;&#1085;&#1089;&#1086;&#1074;&#1072;&#1103;%20&#1084;&#1086;&#1076;&#1077;&#1083;&#1100;/Documents%20and%20Settings/User1/&#1052;&#1086;&#1080;%20&#1076;&#1086;&#1082;&#1091;&#1084;&#1077;&#1085;&#1090;&#1099;/SKI/Presentation_Energetika/Working%20papers/20090121_Tesla%20II_v10%20adj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A:\BAL_&#1047;&#1077;&#1088;&#1085;&#1051;&#1050;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/server/obmen/1%20Clients/119%20&#1061;&#1080;&#1084;&#1092;&#1072;&#1088;&#1084;/2%20Financial%20Model/FINAL/FINAL-CHIMPHARM-Financial%20Model-31-10-12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/&#1044;&#1086;&#1082;&#1091;&#1084;&#1077;&#1085;&#1090;&#1099;/&#1044;&#1050;&#1055;%20&#1040;&#1054;%20&#1062;&#1077;&#1085;&#1090;&#1088;%20&#1043;&#1063;&#1055;/&#1052;&#1086;&#1085;&#1080;&#1090;&#1086;&#1088;&#1080;&#1085;&#1075;%20&#1054;&#1056;&#1050;&#1055;%20&#1040;&#1083;&#1084;&#1072;/2.%20&#1057;&#1077;&#1074;&#1050;&#1072;&#1079;-&#1040;&#1082;&#1090;&#1054;&#1073;&#1083;/2%20&#1060;&#1080;&#1085;&#1072;&#1085;&#1089;&#1086;&#1074;&#1072;&#1103;%20&#1084;&#1086;&#1076;&#1077;&#1083;&#1100;/dod/07%20Kazakhstan/02%20Working%20files/05%2012%20FM%20RAO%204%20final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&#1052;&#1072;&#1083;&#1080;&#1082;&#1077;%20&#1076;&#1086;&#1082;&#1080;/&#1052;&#1072;&#1083;&#1080;&#1082;&#1077;%20&#1088;&#1072;&#1073;&#1086;&#1095;&#1080;&#1081;%20&#1089;&#1090;&#1086;&#1083;/&#1055;&#1086;&#1089;&#1083;&#1077;&#1076;&#1085;&#1080;&#1077;%20&#1074;&#1072;&#1088;&#1080;&#1072;&#1085;&#1090;&#1099;%20&#1087;&#1086;%20&#1060;&#1054;&#1050;&#1091;/&#1060;&#1069;&#1052;%20&#1060;&#1054;&#1050;%2027092017%20&#1089;%20&#1053;&#1044;&#1057;%20the%20end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/Pdc/&#1086;&#1073;&#1097;&#1080;&#1077;%20&#1076;&#1086;&#1082;&#1091;&#1084;&#1077;&#1085;&#1090;&#1099;/Documents%20and%20Settings/kusmanov/&#1052;&#1086;&#1080;%20&#1076;&#1086;&#1082;&#1091;&#1084;&#1077;&#1085;&#1090;&#1099;/&#1048;&#1085;&#1092;&#1086;&#1088;&#1084;/&#1041;&#1087;%20breton/&#1041;&#1087;%20breton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/Pdc/&#1086;&#1073;&#1097;&#1080;&#1077;%20&#1076;&#1086;&#1082;&#1091;&#1084;&#1077;&#1085;&#1090;&#1099;/DOCUME~1/GH_KUS~1/LOCALS~1/Temp/bat/&#1041;&#1055;%20&#1082;&#1080;&#1088;%20&#1079;&#1072;&#1074;&#1086;&#1076;%203.3%20%20(40%20&#1084;&#1083;&#1085;.%20+20%20&#1079;&#1072;&#1073;&#1091;&#1090;%20&#1088;&#1077;&#1072;&#1083;%20&#1085;&#1072;%2018.07.06%20&#1076;&#1083;&#1103;%20&#1040;&#1060;%20&#1091;&#1074;&#1077;&#1083;%20&#1082;&#1091;&#1088;&#1089;)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/Users/mauezova/Desktop/&#1056;&#1080;&#1089;&#1082;&#1080;%20&#1076;&#1077;&#1090;&#1089;&#1072;&#1076;.xlsx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/Users/A.Tcyganov/Desktop/Projects/&#1057;&#1042;&#1040;/&#1053;&#1072;%20&#1082;&#1086;&#1088;&#1088;&#1077;&#1082;&#1090;&#1080;&#1088;&#1086;&#1074;&#1082;&#1091;%2014.11.2017/&#1050;&#1086;&#1088;&#1088;&#1077;&#1082;&#1090;&#1080;&#1088;&#1086;&#1074;&#1082;&#1072;/&#1060;&#1069;&#1052;%20&#1057;&#1042;&#1040;%2015112017.xlsx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/Users/AKB/Google%20&#1044;&#1080;&#1089;&#1082;/&#1056;&#1072;&#1076;&#1072;&#1088;&#1099;/&#1040;&#1089;&#1090;&#1072;&#1085;&#1072;/&#1044;&#1086;&#1082;&#1091;&#1084;&#1077;&#1085;&#1090;&#1099;%20&#1043;&#1063;&#1055;/&#1060;&#1069;&#1052;/&#1043;&#1063;&#1055;.&#1052;&#1086;&#1076;&#1077;&#1083;&#1100;%2090%20credit%2035bl.xlsx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/Users/sardarbekova.a/AppData/Local/Microsoft/Windows/INetCache/Content.Outlook/6SGC8IN1/&#1060;&#1069;&#1052;%20&#1040;&#1089;&#1090;&#1072;&#1085;&#1072;%20&#1076;&#1077;&#1082;.xlsx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I:\&#1044;&#1050;&#1055;%20&#1040;&#1054;%20&#1062;&#1077;&#1085;&#1090;&#1088;%20&#1043;&#1063;&#1055;\&#1069;&#1082;&#1089;&#1087;&#1077;&#1088;&#1090;&#1080;&#1079;&#1072;%20&#1082;&#1086;&#1085;&#1082;&#1091;&#1088;&#1089;&#1085;&#1086;&#1081;%20&#1079;&#1072;&#1103;&#1074;&#1082;&#1080;\&#1040;&#1083;&#1084;&#1072;&#1090;&#1099;-&#1061;&#1086;&#1088;&#1075;&#1086;&#1089;\&#1087;&#1077;&#1088;&#1077;&#1075;&#1086;&#1074;&#1086;&#1088;&#1099;%20&#1040;-&#1061;\&#1092;&#1101;&#1084;%20&#1087;&#1077;&#1088;&#1077;&#1075;&#1086;&#1074;%20&#1048;&#1084;&#1087;&#1088;&#1077;&#1076;&#1078;&#1080;&#1083;&#1086;%202011\&#1092;&#1101;&#1084;%20&#1062;&#1077;&#1085;&#1090;&#1088;&#1072;%20&#1043;&#1063;&#1055;%20&#1087;&#1086;%20&#1082;&#1086;&#1084;&#1087;&#1086;&#1085;&#1077;&#1085;&#1090;&#1072;&#1084;%20&#1048;&#1084;&#1087;&#1088;&#1077;&#1076;&#1078;&#1080;&#1083;&#1086;\110420%20&#1043;&#1063;&#1055;%20_almaty%20chorgos_Kaz_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Z:\13%20&#1050;&#1054;&#1053;&#1057;&#1040;&#1051;&#1058;\2018\&#1050;&#1099;&#1079;&#1099;&#1083;&#1086;&#1088;&#1076;&#1080;&#1085;&#1089;&#1082;&#1072;&#1103;%20&#1086;&#1073;&#1083;&#1072;&#1089;&#1090;&#1100;\&#1059;&#1083;&#1080;&#1095;&#1085;&#1086;&#1077;%20&#1086;&#1089;&#1074;&#1077;&#1097;&#1077;&#1085;&#1080;&#1077;2018\&#1086;&#1090;%20PwC\ADB%20model_Kyzylorda_DRAFT_20180606_1700.xlsm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/DIMASH/system/07%20Kazakhstan/02%20Working%20files/05%2012%20FM%20RAO%204%20final.xls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/DIMASH/system/Work%20Instrument/&#1060;&#1080;&#1085;&#1072;&#1085;&#1089;&#1086;&#1074;&#1072;&#1103;%20&#1084;&#1086;&#1076;&#1077;&#1083;&#1100;/dod/07%20Kazakhstan/02%20Working%20files/05%2012%20FM%20RAO%204%20final.xls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M:\IFC%20Files\IFC%20AS\PPP%20Transaction%20Advisory\3-Georgia\East-West%20Highway\Model\Georgia%20E-W%20Highway%20-%20Model%20(new).xlsx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/Server/obmen/Users/User/Desktop/Arc%20Company/fin.model/Documents%20and%20Settings/userl/&#1056;&#1072;&#1073;&#1086;&#1095;&#1080;&#1081;%20&#1089;&#1090;&#1086;&#1083;/Documents%20and%20Settings/1/&#1052;&#1086;&#1080;%20&#1076;&#1086;&#1082;&#1091;&#1084;&#1077;&#1085;&#1090;&#1099;/&#1050;&#1083;&#1080;&#1077;&#1085;&#1090;&#1099;/&#1041;&#1072;&#1090;&#1099;&#1088;%20&#1040;&#1075;&#1088;&#1086;&#1082;&#1077;&#1084;&#1080;&#1082;&#1072;&#1083;&#1079;-&#1087;&#1077;&#1089;&#1090;&#1080;&#1094;&#1080;&#1076;&#1099;/&#1041;&#1080;&#1079;&#1085;&#1077;&#1089;%20&#1087;&#1083;&#1072;&#1085;%20&#1041;&#1072;&#1090;&#1099;&#1088;/Invest_pr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/Pdc/dp1/Documents%20and%20Settings/Kurbanaeva/Local%20Settings/Temporary%20Internet%20Files/Content.IE5/ST6ZC5ER/ProblemList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/&#1044;&#1077;&#1085;&#1080;&#1089;/SkyDrive/!&#1056;&#1072;&#1073;&#1086;&#1090;&#1072;/&#1042;&#1086;&#1089;&#1082;%20&#1050;&#1088;&#1072;&#1089;&#1085;&#1086;&#1076;&#1072;&#1088;/&#1042;&#1086;&#1089;&#1082;_&#1084;&#1086;&#1076;&#1077;&#1083;&#1100;_20141009.xlsx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/Pdc/dp1/Documents%20and%20Settings/Kurbanaeva/Local%20Settings/Temporary%20Internet%20Files/Content.IE5/GX2J4TEF/&#1041;&#1102;&#1076;&#1078;&#1077;&#1090;%20SAT&#1090;&#1077;&#1082;&#1091;&#1097;&#1080;&#1079;%20&#1079;&#1072;&#1090;&#1088;&#1072;&#1090;2006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/DIMASH/system/Work%20Instrument/&#1060;&#1080;&#1085;&#1072;&#1085;&#1089;&#1086;&#1074;&#1072;&#1103;%20&#1084;&#1086;&#1076;&#1077;&#1083;&#1100;/Documents%20and%20Settings/User1/&#1052;&#1086;&#1080;%20&#1076;&#1086;&#1082;&#1091;&#1084;&#1077;&#1085;&#1090;&#1099;/SKI/Presentation_Energetika/Working%20papers/20090121_Tesla%20II_v10%20adj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/server/obmen/1%20Clients/99%20&#1057;&#1072;&#1091;&#1083;&#1077;&#1090;/4%20&#1040;&#1082;&#1089;&#1091;/2%20Financial%20model/FM_SAULET_AKSU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/Users/K.akatov/AppData/Roaming/Microsoft/Excel/&#1050;&#1086;&#1087;&#1080;&#1103;%20&#1060;&#1069;&#1052;%20&#1060;&#1054;&#1050;%20&#1073;&#1072;&#1079;&#1086;&#1074;&#1072;&#1103;%20&#1075;&#1086;&#1076;&#1086;&#1074;&#1099;&#1077;.xlsx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/Users/SPK/Desktop/Documents%20and%20Settings/G_Ibraeva/&#1056;&#1072;&#1073;&#1086;&#1095;&#1080;&#1081;%20&#1089;&#1090;&#1086;&#1083;/DOCUME~1/AHMETO~1/LOCALS~1/Temp/Rar$DI00.531/&#1041;&#1102;&#1076;&#1078;&#1077;&#1090;&#1055;&#1088;&#1086;&#1076;&#1072;&#1078;&#1042;&#1085;&#1077;&#1096;&#1085;&#1080;&#1081;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/pdc/&#1054;&#1073;&#1097;&#1080;&#1077;%20&#1076;&#1086;&#1082;&#1091;&#1084;&#1077;&#1085;&#1090;&#1099;/Documents%20and%20Settings/k_abdrahmanov/&#1056;&#1072;&#1073;&#1086;&#1095;&#1080;&#1081;%20&#1089;&#1090;&#1086;&#1083;/&#1048;&#1085;&#1092;&#1086;%20&#1040;&#1082;&#1090;&#1086;&#1073;&#1077;/&#1085;&#1086;&#1074;&#1099;&#1081;%20&#1041;&#1055;%20%20&#1080;&#1089;&#1087;&#1088;%20&#1089;%20&#1091;&#1095;.%20&#1092;&#1080;&#1085;.%20NB%2007.02.06.xls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/Pdc/&#1076;&#1080;&#1089;&#1082;%20&#1073;&#1102;&#1076;&#1078;&#1077;&#1090;&#1080;&#1088;&#1086;&#1074;&#1072;&#1085;&#1080;&#1103;/Documents%20and%20Settings/&#1043;&#1091;&#1083;&#1100;&#1078;&#1080;&#1103;&#1085;/Local%20Settings/Temporary%20Internet%20Files/Content.IE5/RB199LH6/&#1055;&#1088;&#1080;&#1082;&#1072;&#1079;_182/form.xls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/Users/M.Sagyndykova/AppData/Local/Microsoft/Windows/Temporary%20Internet%20Files/Content.Outlook/THQ3OEY8/&#1060;&#1069;&#1052;_&#1041;&#1072;&#1090;&#1099;&#1089;_&#1090;&#1088;&#1072;&#1085;&#1079;&#1080;&#1090;_&#1054;&#1089;&#1074;&#1077;&#1097;&#1077;&#1085;&#1080;&#1077;_&#1040;&#1090;&#1099;&#1088;&#1072;&#1091;-2%2030%2004%2018%20(&#1043;&#1063;&#1055;)%20&#1088;&#1080;&#1089;&#1082;&#1080;%20(6).xlsx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/Shashpan_zh/temp/ERLAN/Zakluchenia/&#1047;&#1077;&#1088;&#1085;&#1086;&#1074;&#1072;&#1103;_&#1051;&#1050;/Proj_&#1047;&#1051;&#1050;_&#1087;&#1096;&#1077;&#1085;&#1080;&#1094;&#1072;_50%25_&#1083;&#1080;&#1079;_&#1087;&#1083;&#1072;&#1090;.xls" TargetMode="External" Id="rId1" 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/Pdc/&#1086;&#1073;&#1097;&#1080;&#1077;%20&#1076;&#1086;&#1082;&#1091;&#1084;&#1077;&#1085;&#1090;&#1099;/&#1050;&#1091;&#1089;&#1084;&#1072;&#1085;&#1086;&#1074;%20&#1046;&#1077;&#1085;&#1080;&#1089;%20&#1050;&#1072;&#1081;&#1088;&#1073;&#1072;&#1077;&#1074;&#1080;&#1095;/&#1041;&#1055;%20&#1097;&#1077;&#1073;&#1077;&#1085;&#1100;%201.05%20&#1076;&#1083;&#1103;%20&#1041;&#1058;&#1040;.xls" TargetMode="External" Id="rId1" 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/Pdc/&#1076;&#1080;&#1089;&#1082;%20&#1073;&#1102;&#1076;&#1078;&#1077;&#1090;&#1080;&#1088;&#1086;&#1074;&#1072;&#1085;&#1080;&#1103;/Documents%20and%20Settings/S-Terekhov/Local%20Settings/Temporary%20Internet%20Files/OLK21/&#1092;&#1077;&#1074;%202002/&#1044;&#1041;&#1057;&#1055;_02_%202002.xls" TargetMode="External" Id="rId1" 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/Users/SPK/Desktop/DOCUME~1/G_SVEC~1/LOCALS~1/Temp/bat/6A75EE9B.xls" TargetMode="External" Id="rId1" 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/Users/SPK/Desktop/&#1052;&#1086;&#1080;%20&#1076;&#1086;&#1082;&#1091;&#1084;&#1077;&#1085;&#1090;&#1099;/&#1055;&#1088;&#1086;&#1077;&#1082;&#1090;&#1099;/&#1053;&#1077;&#1088;&#1091;&#1076;-&#1050;&#1086;&#1096;&#1077;&#1090;&#1072;&#1091;/&#1053;&#1077;&#1088;&#1091;&#1076;/&#1050;&#1086;&#1088;&#1088;&#1077;&#1082;&#1090;&#1080;&#1088;&#1086;&#1074;&#1082;&#1072;%202-&#1086;&#1077;%20&#1087;&#1086;&#1083;&#1091;&#1075;&#1086;&#1076;&#1080;&#1077;%202007%20&#1075;/&#1041;&#1102;&#1076;&#1078;&#1077;&#1090;%20&#1085;&#1072;%202-%20&#1086;&#1077;%20&#1087;&#1086;&#1083;&#1091;&#1075;&#1086;&#1076;&#1080;&#1077;%202007%20&#1075;..xls" TargetMode="External" Id="rId1" 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/DIMASH/system/natalia/BP20066.xls" TargetMode="External" Id="rId1" 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A:\DOCUME~1\AHMETO~1\LOCALS~1\Temp\Rar$DI00.531\&#1041;&#1102;&#1076;&#1078;&#1077;&#1090;&#1055;&#1088;&#1086;&#1076;&#1072;&#1078;&#1042;&#1085;&#1077;&#1096;&#1085;&#1080;&#1081;.xls" TargetMode="External" Id="rId1" 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E:\Users\spk333\AppData\Roaming\Microsoft\Excel\Documents%20and%20Settings\G_Ibraeva\&#1056;&#1072;&#1073;&#1086;&#1095;&#1080;&#1081;%20&#1089;&#1090;&#1086;&#1083;\DOCUME~1\AHMETO~1\LOCALS~1\Temp\Rar$DI00.531\&#1041;&#1102;&#1076;&#1078;&#1077;&#1090;&#1055;&#1088;&#1086;&#1076;&#1072;&#1078;&#1042;&#1085;&#1077;&#1096;&#1085;&#1080;&#1081;.xls" TargetMode="External" Id="rId1" 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/Users/SPK/Desktop/&#1052;&#1051;&#1044;&#1050;%20&#1060;3+&#1060;2%20&#1073;&#1077;&#1079;%20&#1048;&#1060;&#1050;.xls" TargetMode="External" Id="rId1" 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/Shashpan_zh/temp/ERLAN/Zakluchenia/&#1040;&#1050;&#1058;&#1048;&#1042;/Proj_&#1040;&#1050;&#1058;&#1048;&#1042;_7&#1083;&#1077;&#1090;.xls" TargetMode="External" Id="rId1" 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/Pdc/&#1086;&#1073;&#1097;&#1080;&#1077;%20&#1076;&#1086;&#1082;&#1091;&#1084;&#1077;&#1085;&#1090;&#1099;/WINDOWS/TEMP/Rar$DI01.712/&#1069;&#1082;&#1086;&#1090;&#1086;&#1085;%2011.03.04.xls" TargetMode="External" Id="rId1" 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/Users/SPK/Desktop/test.xls" TargetMode="External" Id="rId1" 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/Pdc/&#1086;&#1073;&#1097;&#1080;&#1077;%20&#1076;&#1086;&#1082;&#1091;&#1084;&#1077;&#1085;&#1090;&#1099;/&#1052;&#1086;&#1080;%20&#1076;&#1086;&#1082;&#1091;&#1084;&#1077;&#1085;&#1090;&#1099;/&#1064;&#1072;&#1073;&#1083;&#1086;&#1085;&#1099;/&#1064;&#1072;&#1073;&#1083;&#1086;&#1085;.xls" TargetMode="External" Id="rId1" 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/SERVER/obmen/1%20Fin%20intermediary%20&#1085;&#1077;%20&#1090;&#1088;&#1086;&#1075;&#1072;&#1090;&#1100;/1%20Investment%20projects/1%20&#1050;&#1072;&#1079;&#1072;&#1093;&#1089;&#1090;&#1072;&#1085;/Kraft-Mon%20Amie/Info%20from%20client/BUDGET%20Mon%20Amie%20(2010-2017)%20draft%20(IIS)2.xls" TargetMode="External" Id="rId1" 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/Users/SPK/Desktop/DOCUME~1/I_FROL~1/LOCALS~1/Temp/bat/ENKI/&#1053;&#1077;&#1088;&#1091;&#1076;%20&#1084;&#1086;&#1080;%20&#1088;&#1072;&#1089;&#1095;&#1105;&#1090;&#1099;.xls" TargetMode="External" Id="rId1" 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/Users/d.kurman/Downloads/&#1060;&#1069;&#1052;%20Forus%20Data_&#1060;&#1080;&#1085;&#1072;&#1083;_20112023%20(1).xlsx" TargetMode="External" Id="rId1" 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/Users/SPK/Desktop/DOCUME~1/G_SVEC~1/LOCALS~1/Temp/bat/15E674EE.xls" TargetMode="External" Id="rId1" 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/94CDA1EA/Docu" TargetMode="External" Id="rId1" 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/10.10.0.201/finance/INNOVATIVE%20FOUND/&#1056;&#1040;&#1041;&#1054;&#1063;&#1050;&#1040;/BUDGET%20Mon%20Amie%20(2010-2017)%20draft%20(IIS).xls" TargetMode="External" Id="rId1" 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/Users/SPK/Desktop/Documents%20and%20Settings/&#1040;&#1076;&#1084;&#1080;&#1085;&#1080;&#1089;&#1090;&#1088;&#1072;&#1090;&#1086;&#1088;/&#1056;&#1072;&#1073;&#1086;&#1095;&#1080;&#1081;%20&#1089;&#1090;&#1086;&#1083;/&#1041;&#1055;/&#1041;&#1055;%20&#1082;&#1080;&#1088;%20&#1079;&#1072;&#1074;&#1086;&#1076;%203.3%20%20(40%20&#1084;&#1083;&#1085;.%20+20%20&#1079;&#1072;&#1073;&#1091;&#1090;%20&#1088;&#1077;&#1072;&#1083;%20&#1085;&#1072;%2018.07.06%20&#1076;&#1083;&#1103;%20&#1040;&#1060;%20&#1091;&#1074;&#1077;&#1083;%20&#1082;&#1091;&#1088;&#1089;).xls" TargetMode="External" Id="rId1" 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/Users/SPK/Desktop/&#1052;&#1086;&#1080;%20&#1076;&#1086;&#1082;&#1091;&#1084;&#1077;&#1085;&#1090;&#1099;/&#1055;&#1088;&#1086;&#1077;&#1082;&#1090;&#1099;/&#1050;&#1080;&#1088;&#1087;&#1080;&#1095;/&#1041;&#1080;&#1079;&#1085;&#1077;&#1089;-&#1087;&#1083;&#1072;&#1085;/&#1041;&#1055;%20&#1082;&#1080;&#1088;%20&#1079;&#1072;&#1074;&#1086;&#1076;%204%20%20(14.01.08)%20&#1087;&#1077;&#1089;&#1089;&#1080;&#1084;.xls" TargetMode="External" Id="rId1" 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/Elena/Share/&#1048;&#1085;&#1092;&#1086;&#1088;&#1084;&#1072;&#1094;&#1080;&#1103;/&#1087;&#1088;&#1086;&#1077;&#1082;&#1090;&#1099;%20&#1103;&#1085;&#1074;&#1072;&#1088;&#1100;-&#1080;&#1102;&#1085;&#1100;%202011/&#1041;&#1055;%20&#1056;&#1077;&#1089;&#1090;&#1086;&#1088;&#1072;&#1085;%20I&#1083;&#1077;%20&#1050;&#1086;&#1088;&#1087;&#1086;&#1088;&#1072;&#1094;&#1080;&#1103;&#1089;&#1099;/&#1052;&#1086;&#1076;&#1077;&#1083;&#1100;_&#1041;&#1056;&#1050;_18%20&#1103;&#1085;&#1074;.xls" TargetMode="External" Id="rId1" 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/Users/ww-user/Desktop/&#1042;&#1080;&#1076;&#1077;&#1086;&#1082;&#1072;&#1084;&#1077;&#1088;&#1099;%20&#1074;%20&#1040;&#1089;&#1090;&#1072;&#1085;&#1077;/&#1043;&#1063;&#1055;.&#1052;&#1086;&#1076;&#1077;&#1083;&#1100;%20&#1085;&#1072;%20&#1101;&#1082;&#1086;&#1085;&#1086;&#1084;.&#1101;&#1082;&#1089;&#1087;&#1077;&#1088;&#1090;&#1080;&#1079;&#1091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Главн"/>
      <sheetName val="Пояснения"/>
      <sheetName val="Эффективность"/>
      <sheetName val="Рас.эффект"/>
      <sheetName val="№ 2 Товар.выпуск"/>
      <sheetName val="№ 3 Реализация"/>
      <sheetName val="Доходы"/>
      <sheetName val="Себест реал"/>
      <sheetName val="Cash"/>
      <sheetName val="CF"/>
      <sheetName val="P&amp;L"/>
      <sheetName val="Кредиты"/>
      <sheetName val="Кредиты 2"/>
      <sheetName val="Кредиты 3"/>
      <sheetName val="№ 1 Произв.прогр"/>
      <sheetName val="Произв.мощн"/>
      <sheetName val="График работ"/>
      <sheetName val="Invest"/>
      <sheetName val="Лист1"/>
      <sheetName val="Граф кап инвестиц"/>
      <sheetName val="Граф произв инвестиц"/>
      <sheetName val="Амортиз"/>
      <sheetName val="Спр.мат"/>
      <sheetName val="Материалы"/>
      <sheetName val="№ 4 Материалы полн"/>
      <sheetName val="Материалы по ассорт"/>
      <sheetName val="Упаковка"/>
      <sheetName val="№ 4-1 Мат 0,5 ЗС"/>
      <sheetName val="№ 4-2 Мат 0,7 ЗС"/>
      <sheetName val="№ 4-3 Мат 0,5 обл"/>
      <sheetName val="№ 4-4 Мат 0,5 ст"/>
      <sheetName val="№ 4-5 Мат 0,5 ст шелкогр"/>
      <sheetName val="Мат 6"/>
      <sheetName val="Мат 7"/>
      <sheetName val="Мат 8"/>
      <sheetName val="Мат 9"/>
      <sheetName val="Мат 10"/>
      <sheetName val="Мат 11"/>
      <sheetName val="Мат 12"/>
      <sheetName val="Мат 13"/>
      <sheetName val="Мат 14"/>
      <sheetName val="Мат Тов-15"/>
      <sheetName val="Мат Тов-16"/>
      <sheetName val="Мат Тов-17"/>
      <sheetName val="Мат Тов-18"/>
      <sheetName val="Мат Тов-19"/>
      <sheetName val="Мат Тов-20"/>
      <sheetName val="№ 5 Энерго"/>
      <sheetName val="Персонал"/>
      <sheetName val="Налоги"/>
      <sheetName val="№ 6-1 Свод затрат без НДС"/>
      <sheetName val="№ 6-2 Свод затрат с НДС"/>
      <sheetName val="№ 7 КАЛЬКУЛ 1-2"/>
      <sheetName val="№ 7 КАЛЬКУЛ 3-4"/>
      <sheetName val="КАЛЬКУЛ 5"/>
      <sheetName val="Затраты по месяцам"/>
      <sheetName val="Нал на трансп"/>
      <sheetName val="Ставки соц"/>
      <sheetName val="Ставки под.физ"/>
      <sheetName val="ГСМ"/>
      <sheetName val="График"/>
    </sheetNames>
    <sheetDataSet>
      <sheetData sheetId="0" refreshError="1">
        <row r="2">
          <cell r="C2" t="str">
            <v>Участники  Производство стеклотары</v>
          </cell>
        </row>
        <row r="42">
          <cell r="D42">
            <v>0.14000000000000001</v>
          </cell>
          <cell r="E42">
            <v>0.14000000000000001</v>
          </cell>
          <cell r="F42">
            <v>0.14000000000000001</v>
          </cell>
          <cell r="G42">
            <v>0.14000000000000001</v>
          </cell>
          <cell r="H42">
            <v>0.14000000000000001</v>
          </cell>
          <cell r="I42">
            <v>0.12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0.3</v>
          </cell>
          <cell r="J46">
            <v>0.3</v>
          </cell>
          <cell r="K46">
            <v>0.3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Главн"/>
      <sheetName val="Пояснения"/>
      <sheetName val="Эффективность"/>
      <sheetName val="Рас.эффект"/>
      <sheetName val="№ 2 Товар.выпуск"/>
      <sheetName val="№ 3 Реализация"/>
      <sheetName val="Доходы"/>
      <sheetName val="Себест реал"/>
      <sheetName val="Cash"/>
      <sheetName val="CF"/>
      <sheetName val="P&amp;L"/>
      <sheetName val="Кредиты"/>
      <sheetName val="Кредиты 2"/>
      <sheetName val="Кредиты 3"/>
      <sheetName val="№ 1 Произв.прогр"/>
      <sheetName val="Произв.мощн"/>
      <sheetName val="График работ"/>
      <sheetName val="Invest"/>
      <sheetName val="Лист1"/>
      <sheetName val="Граф кап инвестиц"/>
      <sheetName val="Граф произв инвестиц"/>
      <sheetName val="Амортиз"/>
      <sheetName val="Спр.мат"/>
      <sheetName val="Материалы"/>
      <sheetName val="№ 4 Материалы полн"/>
      <sheetName val="Материалы по ассорт"/>
      <sheetName val="Упаковка"/>
      <sheetName val="№ 4-1 Мат 0,5 ЗС"/>
      <sheetName val="№ 4-2 Мат 0,7 ЗС"/>
      <sheetName val="№ 4-3 Мат 0,5 обл"/>
      <sheetName val="№ 4-4 Мат 0,5 ст"/>
      <sheetName val="№ 4-5 Мат 0,5 ст шелкогр"/>
      <sheetName val="Мат 6"/>
      <sheetName val="Мат 7"/>
      <sheetName val="Мат 8"/>
      <sheetName val="Мат 9"/>
      <sheetName val="Мат 10"/>
      <sheetName val="Мат 11"/>
      <sheetName val="Мат 12"/>
      <sheetName val="Мат 13"/>
      <sheetName val="Мат 14"/>
      <sheetName val="Мат Тов-15"/>
      <sheetName val="Мат Тов-16"/>
      <sheetName val="Мат Тов-17"/>
      <sheetName val="Мат Тов-18"/>
      <sheetName val="Мат Тов-19"/>
      <sheetName val="Мат Тов-20"/>
      <sheetName val="№ 5 Энерго"/>
      <sheetName val="Персонал"/>
      <sheetName val="Налоги"/>
      <sheetName val="№ 6-1 Свод затрат без НДС"/>
      <sheetName val="№ 6-2 Свод затрат с НДС"/>
      <sheetName val="№ 7 КАЛЬКУЛ 1-2"/>
      <sheetName val="№ 7 КАЛЬКУЛ 3-4"/>
      <sheetName val="КАЛЬКУЛ 5"/>
      <sheetName val="Затраты по месяцам"/>
      <sheetName val="Нал на трансп"/>
      <sheetName val="Ставки соц"/>
      <sheetName val="Ставки под.физ"/>
      <sheetName val="ГСМ"/>
      <sheetName val="График"/>
    </sheetNames>
    <sheetDataSet>
      <sheetData sheetId="0" refreshError="1">
        <row r="2">
          <cell r="C2" t="str">
            <v>Участники  Производство стеклотары</v>
          </cell>
        </row>
        <row r="7">
          <cell r="C7" t="str">
            <v>Участники</v>
          </cell>
        </row>
        <row r="8">
          <cell r="C8" t="str">
            <v>Банк Казахстан</v>
          </cell>
        </row>
        <row r="9">
          <cell r="C9" t="str">
            <v>Банк Иностранный</v>
          </cell>
        </row>
        <row r="10">
          <cell r="C10" t="str">
            <v>Банк Иностранный2</v>
          </cell>
        </row>
        <row r="19">
          <cell r="C19" t="str">
            <v>EUR</v>
          </cell>
        </row>
        <row r="21">
          <cell r="C21" t="str">
            <v>EUR</v>
          </cell>
        </row>
        <row r="31">
          <cell r="C31">
            <v>169</v>
          </cell>
        </row>
        <row r="35">
          <cell r="C35">
            <v>0</v>
          </cell>
        </row>
        <row r="41"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</row>
        <row r="42">
          <cell r="D42">
            <v>0.14000000000000001</v>
          </cell>
          <cell r="F42">
            <v>0.14000000000000001</v>
          </cell>
          <cell r="G42">
            <v>0.14000000000000001</v>
          </cell>
          <cell r="I42">
            <v>0.12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0.01</v>
          </cell>
          <cell r="J44">
            <v>0.01</v>
          </cell>
          <cell r="K44">
            <v>0.01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J46">
            <v>0.3</v>
          </cell>
        </row>
        <row r="48">
          <cell r="D48">
            <v>0.18</v>
          </cell>
          <cell r="E48">
            <v>0.18</v>
          </cell>
          <cell r="F48">
            <v>0.18</v>
          </cell>
          <cell r="G48">
            <v>0.18</v>
          </cell>
          <cell r="H48">
            <v>0.18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9">
          <cell r="C9" t="str">
            <v>Земля</v>
          </cell>
          <cell r="H9">
            <v>320359.28143712576</v>
          </cell>
          <cell r="I9" t="str">
            <v>1,7</v>
          </cell>
          <cell r="L9">
            <v>0</v>
          </cell>
          <cell r="P9">
            <v>0</v>
          </cell>
          <cell r="T9">
            <v>0</v>
          </cell>
        </row>
        <row r="10">
          <cell r="C10" t="str">
            <v>Прочие</v>
          </cell>
          <cell r="H10">
            <v>1430167.4321260366</v>
          </cell>
          <cell r="I10" t="str">
            <v>1,8</v>
          </cell>
          <cell r="L10">
            <v>0</v>
          </cell>
          <cell r="P10">
            <v>286781.17998506344</v>
          </cell>
          <cell r="Q10" t="str">
            <v>1,9</v>
          </cell>
          <cell r="T10">
            <v>0</v>
          </cell>
        </row>
        <row r="11">
          <cell r="H11">
            <v>0</v>
          </cell>
          <cell r="L11">
            <v>0</v>
          </cell>
          <cell r="P11">
            <v>0</v>
          </cell>
          <cell r="T11">
            <v>0</v>
          </cell>
        </row>
        <row r="14">
          <cell r="C14" t="str">
            <v>Производственное оборудование</v>
          </cell>
          <cell r="H14">
            <v>0</v>
          </cell>
          <cell r="L14">
            <v>0</v>
          </cell>
          <cell r="P14">
            <v>36711270</v>
          </cell>
          <cell r="Q14" t="str">
            <v>1,8</v>
          </cell>
          <cell r="T14">
            <v>0</v>
          </cell>
          <cell r="U14" t="str">
            <v>1,1</v>
          </cell>
        </row>
        <row r="15">
          <cell r="C15" t="str">
            <v>Производственное оборудование</v>
          </cell>
          <cell r="H15">
            <v>0</v>
          </cell>
          <cell r="L15">
            <v>0</v>
          </cell>
          <cell r="P15">
            <v>3812038.8349514562</v>
          </cell>
          <cell r="Q15" t="str">
            <v>1,8</v>
          </cell>
          <cell r="T15">
            <v>0</v>
          </cell>
        </row>
        <row r="16">
          <cell r="C16" t="str">
            <v>Производственное оборудование</v>
          </cell>
          <cell r="H16">
            <v>0</v>
          </cell>
          <cell r="L16">
            <v>0</v>
          </cell>
          <cell r="P16">
            <v>823002.24047796871</v>
          </cell>
          <cell r="Q16" t="str">
            <v>1,8</v>
          </cell>
          <cell r="T16">
            <v>0</v>
          </cell>
        </row>
        <row r="17">
          <cell r="C17" t="str">
            <v>Производственное оборудование</v>
          </cell>
          <cell r="H17">
            <v>0</v>
          </cell>
          <cell r="L17">
            <v>0</v>
          </cell>
          <cell r="P17">
            <v>900000</v>
          </cell>
          <cell r="Q17" t="str">
            <v>1,8</v>
          </cell>
          <cell r="T17">
            <v>0</v>
          </cell>
        </row>
        <row r="18">
          <cell r="C18" t="str">
            <v>Прочие</v>
          </cell>
          <cell r="H18">
            <v>0</v>
          </cell>
          <cell r="L18">
            <v>0</v>
          </cell>
          <cell r="P18">
            <v>1060000</v>
          </cell>
          <cell r="Q18" t="str">
            <v>1,8</v>
          </cell>
          <cell r="T18">
            <v>0</v>
          </cell>
        </row>
        <row r="19">
          <cell r="C19" t="str">
            <v>Прочие</v>
          </cell>
          <cell r="H19">
            <v>0</v>
          </cell>
          <cell r="L19">
            <v>0</v>
          </cell>
          <cell r="P19">
            <v>1320000</v>
          </cell>
          <cell r="Q19" t="str">
            <v>1,8</v>
          </cell>
          <cell r="T19">
            <v>0</v>
          </cell>
        </row>
        <row r="20">
          <cell r="C20" t="str">
            <v>Прочие</v>
          </cell>
          <cell r="H20">
            <v>1170104.3400000001</v>
          </cell>
          <cell r="I20" t="str">
            <v>2,5</v>
          </cell>
          <cell r="L20">
            <v>0</v>
          </cell>
          <cell r="P20">
            <v>815434.58215568983</v>
          </cell>
          <cell r="Q20" t="str">
            <v>2,5</v>
          </cell>
          <cell r="T20">
            <v>0</v>
          </cell>
        </row>
        <row r="21">
          <cell r="C21" t="str">
            <v xml:space="preserve">Прочее оборудование </v>
          </cell>
          <cell r="H21">
            <v>410754.2942494399</v>
          </cell>
          <cell r="I21" t="str">
            <v>1,9</v>
          </cell>
          <cell r="L21">
            <v>0</v>
          </cell>
          <cell r="P21">
            <v>0</v>
          </cell>
          <cell r="T21">
            <v>0</v>
          </cell>
        </row>
        <row r="22">
          <cell r="C22" t="str">
            <v xml:space="preserve">Прочее оборудование </v>
          </cell>
          <cell r="H22">
            <v>0</v>
          </cell>
          <cell r="L22">
            <v>389614.3426779898</v>
          </cell>
          <cell r="M22" t="str">
            <v>1,12</v>
          </cell>
          <cell r="P22">
            <v>0</v>
          </cell>
          <cell r="T22">
            <v>0</v>
          </cell>
        </row>
        <row r="23">
          <cell r="H23">
            <v>0</v>
          </cell>
          <cell r="L23">
            <v>0</v>
          </cell>
          <cell r="P23">
            <v>0</v>
          </cell>
          <cell r="T23">
            <v>0</v>
          </cell>
        </row>
        <row r="24">
          <cell r="H24">
            <v>0</v>
          </cell>
          <cell r="L24">
            <v>0</v>
          </cell>
          <cell r="P24">
            <v>0</v>
          </cell>
          <cell r="T24">
            <v>0</v>
          </cell>
        </row>
        <row r="25">
          <cell r="H25">
            <v>0</v>
          </cell>
          <cell r="L25">
            <v>0</v>
          </cell>
          <cell r="P25">
            <v>0</v>
          </cell>
          <cell r="T25">
            <v>0</v>
          </cell>
        </row>
        <row r="26">
          <cell r="H26">
            <v>0</v>
          </cell>
          <cell r="L26">
            <v>0</v>
          </cell>
          <cell r="P26">
            <v>0</v>
          </cell>
          <cell r="T26">
            <v>0</v>
          </cell>
        </row>
        <row r="27">
          <cell r="H27">
            <v>0</v>
          </cell>
          <cell r="L27">
            <v>0</v>
          </cell>
          <cell r="P27">
            <v>0</v>
          </cell>
          <cell r="T27">
            <v>0</v>
          </cell>
        </row>
        <row r="28">
          <cell r="H28">
            <v>0</v>
          </cell>
          <cell r="L28">
            <v>0</v>
          </cell>
          <cell r="P28">
            <v>0</v>
          </cell>
          <cell r="T28">
            <v>0</v>
          </cell>
        </row>
        <row r="29">
          <cell r="H29">
            <v>0</v>
          </cell>
          <cell r="L29">
            <v>0</v>
          </cell>
          <cell r="P29">
            <v>0</v>
          </cell>
          <cell r="T29">
            <v>0</v>
          </cell>
        </row>
        <row r="30">
          <cell r="H30">
            <v>0</v>
          </cell>
          <cell r="L30">
            <v>0</v>
          </cell>
          <cell r="P30">
            <v>0</v>
          </cell>
          <cell r="T30">
            <v>0</v>
          </cell>
        </row>
        <row r="31">
          <cell r="H31">
            <v>0</v>
          </cell>
          <cell r="L31">
            <v>0</v>
          </cell>
          <cell r="P31">
            <v>0</v>
          </cell>
          <cell r="T31">
            <v>0</v>
          </cell>
        </row>
        <row r="32">
          <cell r="H32">
            <v>0</v>
          </cell>
          <cell r="L32">
            <v>0</v>
          </cell>
          <cell r="P32">
            <v>0</v>
          </cell>
          <cell r="T32">
            <v>0</v>
          </cell>
        </row>
        <row r="33">
          <cell r="H33">
            <v>1580858.6342494399</v>
          </cell>
          <cell r="L33">
            <v>389614.3426779898</v>
          </cell>
          <cell r="P33">
            <v>45441745.657585114</v>
          </cell>
          <cell r="T33">
            <v>0</v>
          </cell>
        </row>
        <row r="36">
          <cell r="H36">
            <v>0</v>
          </cell>
          <cell r="L36">
            <v>0</v>
          </cell>
          <cell r="P36">
            <v>0</v>
          </cell>
          <cell r="T36">
            <v>0</v>
          </cell>
        </row>
        <row r="37">
          <cell r="C37" t="str">
            <v>Прочие</v>
          </cell>
          <cell r="H37">
            <v>0</v>
          </cell>
          <cell r="L37">
            <v>173652.69461077845</v>
          </cell>
          <cell r="M37" t="str">
            <v>1,8</v>
          </cell>
          <cell r="P37">
            <v>0</v>
          </cell>
          <cell r="T37">
            <v>0</v>
          </cell>
        </row>
        <row r="38">
          <cell r="C38" t="str">
            <v>Здания, сооружения</v>
          </cell>
          <cell r="H38">
            <v>0</v>
          </cell>
          <cell r="L38">
            <v>0</v>
          </cell>
          <cell r="P38">
            <v>2673637.0425690813</v>
          </cell>
          <cell r="Q38" t="str">
            <v>1,9</v>
          </cell>
          <cell r="T38">
            <v>0</v>
          </cell>
        </row>
        <row r="39">
          <cell r="C39" t="str">
            <v>Здания, сооружения</v>
          </cell>
          <cell r="H39">
            <v>0</v>
          </cell>
          <cell r="L39">
            <v>0</v>
          </cell>
          <cell r="P39">
            <v>1784914.1150112024</v>
          </cell>
          <cell r="Q39" t="str">
            <v>1,9</v>
          </cell>
          <cell r="T39">
            <v>0</v>
          </cell>
        </row>
        <row r="40">
          <cell r="C40" t="str">
            <v>Здания, сооружения</v>
          </cell>
          <cell r="H40">
            <v>0</v>
          </cell>
          <cell r="L40">
            <v>0</v>
          </cell>
          <cell r="P40">
            <v>1045556.3853622107</v>
          </cell>
          <cell r="Q40" t="str">
            <v>1,11</v>
          </cell>
          <cell r="T40">
            <v>0</v>
          </cell>
        </row>
        <row r="41">
          <cell r="C41" t="str">
            <v>Здания, сооружения</v>
          </cell>
          <cell r="H41">
            <v>0</v>
          </cell>
          <cell r="L41">
            <v>0</v>
          </cell>
          <cell r="P41">
            <v>298730.39581777446</v>
          </cell>
          <cell r="Q41" t="str">
            <v>1,11</v>
          </cell>
          <cell r="T41">
            <v>0</v>
          </cell>
        </row>
        <row r="42">
          <cell r="C42" t="str">
            <v>Здания, сооружения</v>
          </cell>
          <cell r="H42">
            <v>0</v>
          </cell>
          <cell r="L42">
            <v>0</v>
          </cell>
          <cell r="P42">
            <v>291262.13592233008</v>
          </cell>
          <cell r="Q42" t="str">
            <v>1,12</v>
          </cell>
          <cell r="T42">
            <v>0</v>
          </cell>
        </row>
        <row r="43">
          <cell r="C43" t="str">
            <v>Прочие</v>
          </cell>
          <cell r="H43">
            <v>0</v>
          </cell>
          <cell r="L43">
            <v>0</v>
          </cell>
          <cell r="P43">
            <v>377147.12471994024</v>
          </cell>
          <cell r="Q43" t="str">
            <v>1,12</v>
          </cell>
          <cell r="T43">
            <v>0</v>
          </cell>
        </row>
        <row r="44">
          <cell r="C44" t="str">
            <v>Прочие</v>
          </cell>
          <cell r="H44">
            <v>0</v>
          </cell>
          <cell r="L44">
            <v>0</v>
          </cell>
          <cell r="P44">
            <v>1030619.8655713219</v>
          </cell>
          <cell r="Q44" t="str">
            <v>1,12</v>
          </cell>
          <cell r="T44">
            <v>0</v>
          </cell>
        </row>
        <row r="45">
          <cell r="H45">
            <v>0</v>
          </cell>
          <cell r="L45">
            <v>0</v>
          </cell>
          <cell r="P45">
            <v>0</v>
          </cell>
          <cell r="T45">
            <v>0</v>
          </cell>
        </row>
        <row r="46">
          <cell r="C46" t="str">
            <v>Прочие</v>
          </cell>
          <cell r="H46">
            <v>0</v>
          </cell>
          <cell r="L46">
            <v>143712.5748502994</v>
          </cell>
          <cell r="M46" t="str">
            <v>1,8</v>
          </cell>
          <cell r="P46">
            <v>0</v>
          </cell>
          <cell r="T46">
            <v>0</v>
          </cell>
        </row>
        <row r="47">
          <cell r="C47" t="str">
            <v>Прочие</v>
          </cell>
          <cell r="H47">
            <v>0</v>
          </cell>
          <cell r="L47">
            <v>86826.347305389223</v>
          </cell>
          <cell r="M47" t="str">
            <v>1,8</v>
          </cell>
          <cell r="P47">
            <v>0</v>
          </cell>
          <cell r="T47">
            <v>0</v>
          </cell>
        </row>
        <row r="48">
          <cell r="C48" t="str">
            <v>Прочие</v>
          </cell>
          <cell r="H48">
            <v>0</v>
          </cell>
          <cell r="L48">
            <v>543485.02994011971</v>
          </cell>
          <cell r="M48" t="str">
            <v>1,8</v>
          </cell>
          <cell r="P48">
            <v>0</v>
          </cell>
          <cell r="T48">
            <v>0</v>
          </cell>
        </row>
        <row r="49">
          <cell r="C49" t="str">
            <v>Прочие</v>
          </cell>
          <cell r="H49">
            <v>0</v>
          </cell>
          <cell r="L49">
            <v>271742.51497005986</v>
          </cell>
          <cell r="M49" t="str">
            <v>1,8</v>
          </cell>
          <cell r="P49">
            <v>0</v>
          </cell>
          <cell r="T49">
            <v>0</v>
          </cell>
        </row>
        <row r="50">
          <cell r="C50" t="str">
            <v>Прочие</v>
          </cell>
          <cell r="H50">
            <v>0</v>
          </cell>
          <cell r="L50">
            <v>191616.76646706587</v>
          </cell>
          <cell r="M50" t="str">
            <v>1,8</v>
          </cell>
          <cell r="P50">
            <v>0</v>
          </cell>
          <cell r="T50">
            <v>0</v>
          </cell>
        </row>
        <row r="51">
          <cell r="C51" t="str">
            <v>Здания, сооружения</v>
          </cell>
          <cell r="H51">
            <v>0</v>
          </cell>
          <cell r="L51">
            <v>1365269.4610778443</v>
          </cell>
          <cell r="M51" t="str">
            <v>1,8</v>
          </cell>
          <cell r="P51">
            <v>0</v>
          </cell>
          <cell r="T51">
            <v>0</v>
          </cell>
        </row>
        <row r="52">
          <cell r="C52" t="str">
            <v>Здания, сооружения</v>
          </cell>
          <cell r="H52">
            <v>0</v>
          </cell>
          <cell r="L52">
            <v>625748.50299401197</v>
          </cell>
          <cell r="M52" t="str">
            <v>1,8</v>
          </cell>
          <cell r="P52">
            <v>0</v>
          </cell>
          <cell r="T52">
            <v>0</v>
          </cell>
        </row>
        <row r="53">
          <cell r="C53" t="str">
            <v>Здания, сооружения</v>
          </cell>
          <cell r="H53">
            <v>0</v>
          </cell>
          <cell r="L53">
            <v>1221556.8862275449</v>
          </cell>
          <cell r="M53" t="str">
            <v>1,8</v>
          </cell>
          <cell r="P53">
            <v>0</v>
          </cell>
          <cell r="T53">
            <v>0</v>
          </cell>
        </row>
        <row r="54">
          <cell r="C54" t="str">
            <v>Здания, сооружения</v>
          </cell>
          <cell r="H54">
            <v>0</v>
          </cell>
          <cell r="L54">
            <v>140119.76047904193</v>
          </cell>
          <cell r="M54" t="str">
            <v>1,9</v>
          </cell>
          <cell r="P54">
            <v>0</v>
          </cell>
          <cell r="T54">
            <v>0</v>
          </cell>
        </row>
        <row r="55">
          <cell r="C55" t="str">
            <v>Здания, сооружения</v>
          </cell>
          <cell r="H55">
            <v>0</v>
          </cell>
          <cell r="L55">
            <v>140119.76047904193</v>
          </cell>
          <cell r="M55" t="str">
            <v>1,9</v>
          </cell>
          <cell r="P55">
            <v>0</v>
          </cell>
          <cell r="T55">
            <v>0</v>
          </cell>
        </row>
        <row r="56">
          <cell r="C56" t="str">
            <v>Здания, сооружения</v>
          </cell>
          <cell r="H56">
            <v>0</v>
          </cell>
          <cell r="L56">
            <v>1916167.6646706588</v>
          </cell>
          <cell r="M56" t="str">
            <v>1,9</v>
          </cell>
          <cell r="P56">
            <v>0</v>
          </cell>
          <cell r="T56">
            <v>0</v>
          </cell>
        </row>
        <row r="57">
          <cell r="C57" t="str">
            <v>Здания, сооружения</v>
          </cell>
          <cell r="H57">
            <v>0</v>
          </cell>
          <cell r="L57">
            <v>543485.02994011971</v>
          </cell>
          <cell r="M57" t="str">
            <v>1,9</v>
          </cell>
          <cell r="P57">
            <v>0</v>
          </cell>
          <cell r="T57">
            <v>0</v>
          </cell>
        </row>
        <row r="58">
          <cell r="C58" t="str">
            <v>Здания, сооружения</v>
          </cell>
          <cell r="H58">
            <v>0</v>
          </cell>
          <cell r="L58">
            <v>598802.39520958089</v>
          </cell>
          <cell r="M58" t="str">
            <v>2,1</v>
          </cell>
          <cell r="P58">
            <v>0</v>
          </cell>
          <cell r="T58">
            <v>0</v>
          </cell>
        </row>
        <row r="59">
          <cell r="C59" t="str">
            <v>Прочие</v>
          </cell>
          <cell r="H59">
            <v>0</v>
          </cell>
          <cell r="L59">
            <v>0</v>
          </cell>
          <cell r="P59">
            <v>0</v>
          </cell>
          <cell r="T59">
            <v>0</v>
          </cell>
        </row>
        <row r="60">
          <cell r="C60" t="str">
            <v>Прочие</v>
          </cell>
          <cell r="H60">
            <v>0</v>
          </cell>
          <cell r="L60">
            <v>359281.43712574849</v>
          </cell>
          <cell r="M60" t="str">
            <v>1,10</v>
          </cell>
          <cell r="P60">
            <v>0</v>
          </cell>
          <cell r="T60">
            <v>0</v>
          </cell>
        </row>
        <row r="61">
          <cell r="C61" t="str">
            <v>Здания, сооружения</v>
          </cell>
          <cell r="H61">
            <v>0</v>
          </cell>
          <cell r="L61">
            <v>209580.83832335329</v>
          </cell>
          <cell r="M61" t="str">
            <v>2,3</v>
          </cell>
          <cell r="P61">
            <v>0</v>
          </cell>
          <cell r="T61">
            <v>0</v>
          </cell>
        </row>
        <row r="62">
          <cell r="C62" t="str">
            <v>Прочие</v>
          </cell>
          <cell r="H62">
            <v>0</v>
          </cell>
          <cell r="L62">
            <v>21916.167664670658</v>
          </cell>
          <cell r="M62" t="str">
            <v>2,3</v>
          </cell>
          <cell r="P62">
            <v>0</v>
          </cell>
          <cell r="T62">
            <v>0</v>
          </cell>
        </row>
        <row r="63">
          <cell r="C63" t="str">
            <v>Прочие</v>
          </cell>
          <cell r="H63">
            <v>0</v>
          </cell>
          <cell r="L63">
            <v>10958.083832335329</v>
          </cell>
          <cell r="M63" t="str">
            <v>2,3</v>
          </cell>
          <cell r="P63">
            <v>0</v>
          </cell>
          <cell r="T63">
            <v>0</v>
          </cell>
        </row>
        <row r="64">
          <cell r="C64" t="str">
            <v>Прочие</v>
          </cell>
          <cell r="H64">
            <v>0</v>
          </cell>
          <cell r="L64">
            <v>419161.67664670659</v>
          </cell>
          <cell r="M64" t="str">
            <v>2,1</v>
          </cell>
          <cell r="P64">
            <v>0</v>
          </cell>
          <cell r="T64">
            <v>0</v>
          </cell>
        </row>
        <row r="65">
          <cell r="H65">
            <v>0</v>
          </cell>
          <cell r="L65">
            <v>0</v>
          </cell>
          <cell r="P65">
            <v>0</v>
          </cell>
          <cell r="T65">
            <v>0</v>
          </cell>
        </row>
        <row r="66">
          <cell r="C66" t="str">
            <v>Здания, сооружения</v>
          </cell>
          <cell r="H66">
            <v>0</v>
          </cell>
          <cell r="L66">
            <v>802091.11277072446</v>
          </cell>
          <cell r="M66" t="str">
            <v>2,3</v>
          </cell>
          <cell r="P66">
            <v>0</v>
          </cell>
          <cell r="T66">
            <v>0</v>
          </cell>
        </row>
        <row r="67">
          <cell r="C67" t="str">
            <v>Здания, сооружения</v>
          </cell>
          <cell r="H67">
            <v>0</v>
          </cell>
          <cell r="L67">
            <v>11013381</v>
          </cell>
          <cell r="M67" t="str">
            <v>2,5</v>
          </cell>
          <cell r="P67">
            <v>0</v>
          </cell>
          <cell r="T67">
            <v>0</v>
          </cell>
        </row>
        <row r="68">
          <cell r="C68" t="str">
            <v>Здания, сооружения</v>
          </cell>
          <cell r="H68">
            <v>0</v>
          </cell>
          <cell r="L68">
            <v>535474.2345033607</v>
          </cell>
          <cell r="M68" t="str">
            <v>2,3</v>
          </cell>
          <cell r="P68">
            <v>0</v>
          </cell>
          <cell r="T68">
            <v>0</v>
          </cell>
        </row>
        <row r="69">
          <cell r="C69" t="str">
            <v>Здания, сооружения</v>
          </cell>
          <cell r="H69">
            <v>0</v>
          </cell>
          <cell r="L69">
            <v>1143611.6504854369</v>
          </cell>
          <cell r="M69" t="str">
            <v>2,3</v>
          </cell>
          <cell r="P69">
            <v>0</v>
          </cell>
          <cell r="T69">
            <v>0</v>
          </cell>
        </row>
        <row r="70">
          <cell r="C70" t="str">
            <v>Здания, сооружения</v>
          </cell>
          <cell r="H70">
            <v>0</v>
          </cell>
          <cell r="L70">
            <v>113144.13741598208</v>
          </cell>
          <cell r="M70" t="str">
            <v>2,3</v>
          </cell>
          <cell r="P70">
            <v>0</v>
          </cell>
          <cell r="T70">
            <v>0</v>
          </cell>
        </row>
        <row r="71">
          <cell r="C71" t="str">
            <v>Здания, сооружения</v>
          </cell>
          <cell r="H71">
            <v>0</v>
          </cell>
          <cell r="L71">
            <v>627333.83121732634</v>
          </cell>
          <cell r="M71" t="str">
            <v>2,3</v>
          </cell>
          <cell r="P71">
            <v>0</v>
          </cell>
          <cell r="T71">
            <v>0</v>
          </cell>
        </row>
        <row r="72">
          <cell r="C72" t="str">
            <v>Здания, сооружения</v>
          </cell>
          <cell r="H72">
            <v>0</v>
          </cell>
          <cell r="L72">
            <v>309185.95967139659</v>
          </cell>
          <cell r="M72" t="str">
            <v>2,3</v>
          </cell>
          <cell r="P72">
            <v>0</v>
          </cell>
          <cell r="T72">
            <v>0</v>
          </cell>
        </row>
        <row r="73">
          <cell r="C73" t="str">
            <v>Здания, сооружения</v>
          </cell>
          <cell r="H73">
            <v>0</v>
          </cell>
          <cell r="L73">
            <v>89619.118745332336</v>
          </cell>
          <cell r="M73" t="str">
            <v>2,3</v>
          </cell>
          <cell r="P73">
            <v>0</v>
          </cell>
          <cell r="T73">
            <v>0</v>
          </cell>
        </row>
        <row r="74">
          <cell r="C74" t="str">
            <v>Прочие</v>
          </cell>
          <cell r="H74">
            <v>0</v>
          </cell>
          <cell r="L74">
            <v>51800</v>
          </cell>
          <cell r="M74" t="str">
            <v>2,3</v>
          </cell>
          <cell r="P74">
            <v>0</v>
          </cell>
          <cell r="T74">
            <v>0</v>
          </cell>
        </row>
        <row r="75">
          <cell r="C75" t="str">
            <v>Здания, сооружения</v>
          </cell>
          <cell r="H75">
            <v>0</v>
          </cell>
          <cell r="L75">
            <v>87378.640776699031</v>
          </cell>
          <cell r="M75" t="str">
            <v>2,3</v>
          </cell>
          <cell r="P75">
            <v>0</v>
          </cell>
          <cell r="T75">
            <v>0</v>
          </cell>
        </row>
        <row r="76">
          <cell r="C76" t="str">
            <v>Производственное оборудование</v>
          </cell>
          <cell r="H76">
            <v>0</v>
          </cell>
          <cell r="L76">
            <v>246900.67214339061</v>
          </cell>
          <cell r="M76" t="str">
            <v>2,3</v>
          </cell>
          <cell r="P76">
            <v>0</v>
          </cell>
          <cell r="T76">
            <v>0</v>
          </cell>
        </row>
        <row r="77">
          <cell r="C77" t="str">
            <v>Прочие</v>
          </cell>
          <cell r="H77">
            <v>0</v>
          </cell>
          <cell r="L77">
            <v>50410.75429424944</v>
          </cell>
          <cell r="M77" t="str">
            <v>2,3</v>
          </cell>
          <cell r="P77">
            <v>0</v>
          </cell>
          <cell r="T77">
            <v>0</v>
          </cell>
        </row>
        <row r="78">
          <cell r="C78" t="str">
            <v xml:space="preserve">Прочее оборудование </v>
          </cell>
          <cell r="H78">
            <v>0</v>
          </cell>
          <cell r="L78">
            <v>47904.191616766468</v>
          </cell>
          <cell r="M78" t="str">
            <v>2,3</v>
          </cell>
          <cell r="P78">
            <v>0</v>
          </cell>
          <cell r="T78">
            <v>0</v>
          </cell>
        </row>
        <row r="79">
          <cell r="C79" t="str">
            <v xml:space="preserve">Прочее оборудование </v>
          </cell>
          <cell r="H79">
            <v>0</v>
          </cell>
          <cell r="L79">
            <v>26946.107784431137</v>
          </cell>
          <cell r="M79" t="str">
            <v>2,3</v>
          </cell>
          <cell r="P79">
            <v>0</v>
          </cell>
          <cell r="T79">
            <v>0</v>
          </cell>
        </row>
        <row r="80">
          <cell r="C80" t="str">
            <v xml:space="preserve">Прочее оборудование </v>
          </cell>
          <cell r="H80">
            <v>0</v>
          </cell>
          <cell r="L80">
            <v>114970.05988023953</v>
          </cell>
          <cell r="M80" t="str">
            <v>2,3</v>
          </cell>
          <cell r="P80">
            <v>0</v>
          </cell>
          <cell r="T80">
            <v>0</v>
          </cell>
        </row>
        <row r="81">
          <cell r="H81">
            <v>0</v>
          </cell>
          <cell r="L81">
            <v>0</v>
          </cell>
          <cell r="P81">
            <v>0</v>
          </cell>
          <cell r="T81">
            <v>0</v>
          </cell>
        </row>
        <row r="82">
          <cell r="H82">
            <v>0</v>
          </cell>
          <cell r="L82">
            <v>0</v>
          </cell>
          <cell r="P82">
            <v>0</v>
          </cell>
          <cell r="T82">
            <v>0</v>
          </cell>
        </row>
        <row r="83">
          <cell r="H83">
            <v>0</v>
          </cell>
          <cell r="L83">
            <v>0</v>
          </cell>
          <cell r="P83">
            <v>0</v>
          </cell>
          <cell r="T83">
            <v>0</v>
          </cell>
        </row>
        <row r="84">
          <cell r="H84">
            <v>0</v>
          </cell>
          <cell r="L84">
            <v>0</v>
          </cell>
          <cell r="P84">
            <v>0</v>
          </cell>
          <cell r="T84">
            <v>0</v>
          </cell>
        </row>
        <row r="85">
          <cell r="H85">
            <v>0</v>
          </cell>
          <cell r="L85">
            <v>0</v>
          </cell>
          <cell r="P85">
            <v>0</v>
          </cell>
          <cell r="T85">
            <v>0</v>
          </cell>
        </row>
        <row r="86">
          <cell r="H86">
            <v>0</v>
          </cell>
          <cell r="L86">
            <v>0</v>
          </cell>
          <cell r="P86">
            <v>0</v>
          </cell>
          <cell r="T86">
            <v>0</v>
          </cell>
        </row>
        <row r="87">
          <cell r="H87">
            <v>0</v>
          </cell>
          <cell r="L87">
            <v>0</v>
          </cell>
          <cell r="P87">
            <v>0</v>
          </cell>
          <cell r="T87">
            <v>0</v>
          </cell>
        </row>
        <row r="88">
          <cell r="H88">
            <v>0</v>
          </cell>
          <cell r="L88">
            <v>0</v>
          </cell>
          <cell r="P88">
            <v>0</v>
          </cell>
          <cell r="T88">
            <v>0</v>
          </cell>
        </row>
        <row r="89">
          <cell r="H89">
            <v>0</v>
          </cell>
          <cell r="L89">
            <v>0</v>
          </cell>
          <cell r="P89">
            <v>0</v>
          </cell>
          <cell r="T89">
            <v>0</v>
          </cell>
        </row>
        <row r="90">
          <cell r="H90">
            <v>0</v>
          </cell>
          <cell r="L90">
            <v>0</v>
          </cell>
          <cell r="P90">
            <v>0</v>
          </cell>
          <cell r="T90">
            <v>0</v>
          </cell>
        </row>
        <row r="91">
          <cell r="H91">
            <v>0</v>
          </cell>
          <cell r="L91">
            <v>0</v>
          </cell>
          <cell r="P91">
            <v>0</v>
          </cell>
          <cell r="T91">
            <v>0</v>
          </cell>
        </row>
        <row r="92">
          <cell r="H92">
            <v>0</v>
          </cell>
          <cell r="L92">
            <v>24243355.064119708</v>
          </cell>
          <cell r="P92">
            <v>7501867.064973861</v>
          </cell>
          <cell r="T92">
            <v>0</v>
          </cell>
        </row>
        <row r="95">
          <cell r="C95" t="str">
            <v>Прочие</v>
          </cell>
          <cell r="H95">
            <v>0</v>
          </cell>
          <cell r="L95">
            <v>713218.8200149365</v>
          </cell>
          <cell r="M95" t="str">
            <v>1,12</v>
          </cell>
          <cell r="P95">
            <v>0</v>
          </cell>
          <cell r="T95">
            <v>0</v>
          </cell>
        </row>
        <row r="96">
          <cell r="C96" t="str">
            <v>Прочие</v>
          </cell>
          <cell r="H96">
            <v>0</v>
          </cell>
          <cell r="L96">
            <v>215085.884988798</v>
          </cell>
          <cell r="M96" t="str">
            <v>2,1</v>
          </cell>
          <cell r="P96">
            <v>0</v>
          </cell>
          <cell r="T96">
            <v>0</v>
          </cell>
        </row>
        <row r="97">
          <cell r="C97" t="str">
            <v>Прочие</v>
          </cell>
          <cell r="H97">
            <v>0</v>
          </cell>
          <cell r="L97">
            <v>62733.383121732601</v>
          </cell>
          <cell r="M97" t="str">
            <v>1,8</v>
          </cell>
          <cell r="P97">
            <v>0</v>
          </cell>
          <cell r="T97">
            <v>0</v>
          </cell>
        </row>
        <row r="98">
          <cell r="C98" t="str">
            <v>Прочие</v>
          </cell>
          <cell r="H98">
            <v>0</v>
          </cell>
          <cell r="L98">
            <v>30246.452576549698</v>
          </cell>
          <cell r="M98" t="str">
            <v>1,8</v>
          </cell>
          <cell r="P98">
            <v>0</v>
          </cell>
          <cell r="T98">
            <v>0</v>
          </cell>
        </row>
        <row r="99">
          <cell r="C99" t="str">
            <v>Прочие</v>
          </cell>
          <cell r="H99">
            <v>0</v>
          </cell>
          <cell r="L99">
            <v>504107.54294249439</v>
          </cell>
          <cell r="M99" t="str">
            <v>1,9</v>
          </cell>
          <cell r="P99">
            <v>0</v>
          </cell>
          <cell r="T99">
            <v>0</v>
          </cell>
        </row>
        <row r="100">
          <cell r="C100" t="str">
            <v>Прочие</v>
          </cell>
          <cell r="H100">
            <v>138909.63405526499</v>
          </cell>
          <cell r="I100" t="str">
            <v>1,8</v>
          </cell>
          <cell r="L100">
            <v>0</v>
          </cell>
          <cell r="P100">
            <v>0</v>
          </cell>
          <cell r="T100">
            <v>0</v>
          </cell>
        </row>
        <row r="101">
          <cell r="C101" t="str">
            <v>Прочие</v>
          </cell>
          <cell r="H101">
            <v>38922.155688622799</v>
          </cell>
          <cell r="I101" t="str">
            <v>1,8</v>
          </cell>
          <cell r="L101">
            <v>0</v>
          </cell>
          <cell r="P101">
            <v>0</v>
          </cell>
          <cell r="T101">
            <v>0</v>
          </cell>
        </row>
        <row r="102">
          <cell r="C102" t="str">
            <v>Прочие</v>
          </cell>
          <cell r="H102">
            <v>0</v>
          </cell>
          <cell r="L102">
            <v>151988.55507868383</v>
          </cell>
          <cell r="M102" t="str">
            <v>1,12</v>
          </cell>
          <cell r="P102">
            <v>0</v>
          </cell>
          <cell r="T102">
            <v>0</v>
          </cell>
        </row>
        <row r="103">
          <cell r="C103" t="str">
            <v>Прочие</v>
          </cell>
          <cell r="H103">
            <v>0</v>
          </cell>
          <cell r="L103">
            <v>518000</v>
          </cell>
          <cell r="M103" t="str">
            <v>2,1</v>
          </cell>
          <cell r="P103">
            <v>0</v>
          </cell>
          <cell r="T103">
            <v>0</v>
          </cell>
        </row>
        <row r="104">
          <cell r="H104">
            <v>0</v>
          </cell>
          <cell r="L104">
            <v>0</v>
          </cell>
          <cell r="P104">
            <v>0</v>
          </cell>
          <cell r="T104">
            <v>0</v>
          </cell>
        </row>
        <row r="105">
          <cell r="H105">
            <v>0</v>
          </cell>
          <cell r="L105">
            <v>0</v>
          </cell>
          <cell r="P105">
            <v>0</v>
          </cell>
          <cell r="T105">
            <v>0</v>
          </cell>
        </row>
        <row r="106">
          <cell r="H106">
            <v>177831.78974388778</v>
          </cell>
          <cell r="L106">
            <v>2195380.6387231951</v>
          </cell>
          <cell r="P106">
            <v>0</v>
          </cell>
          <cell r="T106">
            <v>0</v>
          </cell>
        </row>
        <row r="108">
          <cell r="H108">
            <v>1758690.4239933277</v>
          </cell>
          <cell r="L108">
            <v>26828350.045520891</v>
          </cell>
          <cell r="P108">
            <v>52943612.722558975</v>
          </cell>
          <cell r="T108">
            <v>0</v>
          </cell>
        </row>
        <row r="112">
          <cell r="H112">
            <v>0</v>
          </cell>
          <cell r="L112">
            <v>0</v>
          </cell>
          <cell r="P112">
            <v>0</v>
          </cell>
          <cell r="T112">
            <v>0</v>
          </cell>
        </row>
        <row r="113">
          <cell r="H113">
            <v>0</v>
          </cell>
          <cell r="L113">
            <v>0</v>
          </cell>
          <cell r="P113">
            <v>0</v>
          </cell>
          <cell r="T113">
            <v>0</v>
          </cell>
        </row>
        <row r="114">
          <cell r="H114">
            <v>0</v>
          </cell>
          <cell r="L114">
            <v>0</v>
          </cell>
          <cell r="P114">
            <v>0</v>
          </cell>
          <cell r="T114">
            <v>0</v>
          </cell>
        </row>
        <row r="115">
          <cell r="H115">
            <v>0</v>
          </cell>
          <cell r="L115">
            <v>0</v>
          </cell>
          <cell r="P115">
            <v>0</v>
          </cell>
          <cell r="T115">
            <v>0</v>
          </cell>
        </row>
        <row r="116">
          <cell r="H116">
            <v>0</v>
          </cell>
          <cell r="L116">
            <v>0</v>
          </cell>
          <cell r="P116">
            <v>0</v>
          </cell>
          <cell r="T116">
            <v>0</v>
          </cell>
        </row>
        <row r="117">
          <cell r="H117">
            <v>0</v>
          </cell>
          <cell r="L117">
            <v>0</v>
          </cell>
          <cell r="P117">
            <v>0</v>
          </cell>
          <cell r="T117">
            <v>0</v>
          </cell>
        </row>
        <row r="118">
          <cell r="H118">
            <v>0</v>
          </cell>
          <cell r="L118">
            <v>0</v>
          </cell>
          <cell r="P118">
            <v>0</v>
          </cell>
          <cell r="T118">
            <v>0</v>
          </cell>
        </row>
        <row r="119">
          <cell r="H119">
            <v>0</v>
          </cell>
          <cell r="L119">
            <v>0</v>
          </cell>
          <cell r="P119">
            <v>0</v>
          </cell>
          <cell r="T119">
            <v>0</v>
          </cell>
        </row>
        <row r="120">
          <cell r="H120">
            <v>0</v>
          </cell>
          <cell r="L120">
            <v>0</v>
          </cell>
          <cell r="P120">
            <v>0</v>
          </cell>
          <cell r="T120">
            <v>0</v>
          </cell>
        </row>
        <row r="121">
          <cell r="H121">
            <v>0</v>
          </cell>
          <cell r="L121">
            <v>0</v>
          </cell>
          <cell r="P121">
            <v>0</v>
          </cell>
          <cell r="T121">
            <v>0</v>
          </cell>
        </row>
        <row r="122">
          <cell r="H122">
            <v>0</v>
          </cell>
          <cell r="L122">
            <v>0</v>
          </cell>
          <cell r="P122">
            <v>0</v>
          </cell>
          <cell r="T122">
            <v>0</v>
          </cell>
        </row>
        <row r="123">
          <cell r="H123">
            <v>0</v>
          </cell>
          <cell r="L123">
            <v>0</v>
          </cell>
          <cell r="P123">
            <v>0</v>
          </cell>
          <cell r="T123">
            <v>0</v>
          </cell>
        </row>
        <row r="124">
          <cell r="H124">
            <v>0</v>
          </cell>
          <cell r="L124">
            <v>0</v>
          </cell>
          <cell r="P124">
            <v>0</v>
          </cell>
          <cell r="T124">
            <v>0</v>
          </cell>
        </row>
        <row r="125">
          <cell r="H125">
            <v>0</v>
          </cell>
          <cell r="L125">
            <v>0</v>
          </cell>
          <cell r="P125">
            <v>0</v>
          </cell>
          <cell r="T125">
            <v>0</v>
          </cell>
        </row>
        <row r="126">
          <cell r="H126">
            <v>0</v>
          </cell>
          <cell r="L126">
            <v>0</v>
          </cell>
          <cell r="P126">
            <v>0</v>
          </cell>
          <cell r="T126">
            <v>0</v>
          </cell>
        </row>
        <row r="127">
          <cell r="H127">
            <v>0</v>
          </cell>
          <cell r="L127">
            <v>0</v>
          </cell>
          <cell r="P127">
            <v>0</v>
          </cell>
          <cell r="T127">
            <v>0</v>
          </cell>
        </row>
        <row r="128">
          <cell r="H128">
            <v>0</v>
          </cell>
          <cell r="L128">
            <v>0</v>
          </cell>
          <cell r="P128">
            <v>0</v>
          </cell>
          <cell r="T128">
            <v>0</v>
          </cell>
        </row>
        <row r="129">
          <cell r="H129">
            <v>0</v>
          </cell>
          <cell r="L129">
            <v>0</v>
          </cell>
          <cell r="P129">
            <v>0</v>
          </cell>
          <cell r="T129">
            <v>0</v>
          </cell>
        </row>
        <row r="130">
          <cell r="H130">
            <v>0</v>
          </cell>
          <cell r="L130">
            <v>0</v>
          </cell>
          <cell r="P130">
            <v>0</v>
          </cell>
          <cell r="T130">
            <v>0</v>
          </cell>
        </row>
        <row r="131">
          <cell r="H131">
            <v>0</v>
          </cell>
          <cell r="L131">
            <v>0</v>
          </cell>
          <cell r="P131">
            <v>0</v>
          </cell>
          <cell r="T131">
            <v>0</v>
          </cell>
        </row>
        <row r="132">
          <cell r="H132">
            <v>0</v>
          </cell>
          <cell r="L132">
            <v>0</v>
          </cell>
          <cell r="P132">
            <v>0</v>
          </cell>
          <cell r="T132">
            <v>0</v>
          </cell>
        </row>
        <row r="133">
          <cell r="H133">
            <v>0</v>
          </cell>
          <cell r="L133">
            <v>0</v>
          </cell>
          <cell r="P133">
            <v>0</v>
          </cell>
          <cell r="T133">
            <v>0</v>
          </cell>
        </row>
        <row r="134">
          <cell r="H134">
            <v>0</v>
          </cell>
          <cell r="L134">
            <v>0</v>
          </cell>
          <cell r="P134">
            <v>0</v>
          </cell>
          <cell r="T134">
            <v>0</v>
          </cell>
        </row>
        <row r="137">
          <cell r="H137">
            <v>0</v>
          </cell>
          <cell r="L137">
            <v>0</v>
          </cell>
          <cell r="P137">
            <v>0</v>
          </cell>
          <cell r="T137">
            <v>0</v>
          </cell>
        </row>
        <row r="138">
          <cell r="H138">
            <v>0</v>
          </cell>
          <cell r="L138">
            <v>0</v>
          </cell>
          <cell r="P138">
            <v>0</v>
          </cell>
          <cell r="T138">
            <v>0</v>
          </cell>
        </row>
        <row r="139">
          <cell r="H139">
            <v>0</v>
          </cell>
          <cell r="L139">
            <v>0</v>
          </cell>
          <cell r="P139">
            <v>0</v>
          </cell>
          <cell r="T139">
            <v>0</v>
          </cell>
        </row>
        <row r="140">
          <cell r="H140">
            <v>0</v>
          </cell>
          <cell r="L140">
            <v>0</v>
          </cell>
          <cell r="P140">
            <v>0</v>
          </cell>
          <cell r="T140">
            <v>0</v>
          </cell>
        </row>
        <row r="141">
          <cell r="H141">
            <v>0</v>
          </cell>
          <cell r="L141">
            <v>0</v>
          </cell>
          <cell r="P141">
            <v>0</v>
          </cell>
          <cell r="T141">
            <v>0</v>
          </cell>
        </row>
        <row r="142">
          <cell r="H142">
            <v>0</v>
          </cell>
          <cell r="L142">
            <v>0</v>
          </cell>
          <cell r="P142">
            <v>0</v>
          </cell>
          <cell r="T142">
            <v>0</v>
          </cell>
        </row>
        <row r="143">
          <cell r="H143">
            <v>0</v>
          </cell>
          <cell r="L143">
            <v>0</v>
          </cell>
          <cell r="P143">
            <v>0</v>
          </cell>
          <cell r="T143">
            <v>0</v>
          </cell>
        </row>
        <row r="144">
          <cell r="H144">
            <v>0</v>
          </cell>
          <cell r="L144">
            <v>0</v>
          </cell>
          <cell r="P144">
            <v>0</v>
          </cell>
          <cell r="T144">
            <v>0</v>
          </cell>
        </row>
        <row r="145">
          <cell r="H145">
            <v>0</v>
          </cell>
          <cell r="L145">
            <v>0</v>
          </cell>
          <cell r="P145">
            <v>0</v>
          </cell>
          <cell r="T145">
            <v>0</v>
          </cell>
        </row>
        <row r="146">
          <cell r="H146">
            <v>0</v>
          </cell>
          <cell r="L146">
            <v>0</v>
          </cell>
          <cell r="P146">
            <v>0</v>
          </cell>
          <cell r="T146">
            <v>0</v>
          </cell>
        </row>
        <row r="147">
          <cell r="H147">
            <v>0</v>
          </cell>
          <cell r="L147">
            <v>0</v>
          </cell>
          <cell r="P147">
            <v>0</v>
          </cell>
          <cell r="T147">
            <v>0</v>
          </cell>
        </row>
        <row r="148">
          <cell r="H148">
            <v>0</v>
          </cell>
          <cell r="L148">
            <v>0</v>
          </cell>
          <cell r="P148">
            <v>0</v>
          </cell>
          <cell r="T148">
            <v>0</v>
          </cell>
        </row>
        <row r="149">
          <cell r="H149">
            <v>0</v>
          </cell>
          <cell r="L149">
            <v>0</v>
          </cell>
          <cell r="P149">
            <v>0</v>
          </cell>
          <cell r="T149">
            <v>0</v>
          </cell>
        </row>
        <row r="150">
          <cell r="H150">
            <v>0</v>
          </cell>
          <cell r="L150">
            <v>0</v>
          </cell>
          <cell r="P150">
            <v>0</v>
          </cell>
          <cell r="T150">
            <v>0</v>
          </cell>
        </row>
        <row r="151">
          <cell r="H151">
            <v>0</v>
          </cell>
          <cell r="L151">
            <v>0</v>
          </cell>
          <cell r="P151">
            <v>0</v>
          </cell>
          <cell r="T151">
            <v>0</v>
          </cell>
        </row>
        <row r="154">
          <cell r="H154">
            <v>0</v>
          </cell>
          <cell r="L154">
            <v>0</v>
          </cell>
          <cell r="P154">
            <v>0</v>
          </cell>
          <cell r="T154">
            <v>0</v>
          </cell>
        </row>
        <row r="155">
          <cell r="H155">
            <v>0</v>
          </cell>
          <cell r="L155">
            <v>0</v>
          </cell>
          <cell r="P155">
            <v>0</v>
          </cell>
          <cell r="T155">
            <v>0</v>
          </cell>
        </row>
        <row r="156">
          <cell r="H156">
            <v>0</v>
          </cell>
          <cell r="L156">
            <v>0</v>
          </cell>
          <cell r="P156">
            <v>0</v>
          </cell>
          <cell r="T156">
            <v>0</v>
          </cell>
        </row>
        <row r="157">
          <cell r="H157">
            <v>0</v>
          </cell>
          <cell r="L157">
            <v>0</v>
          </cell>
          <cell r="P157">
            <v>0</v>
          </cell>
          <cell r="T157">
            <v>0</v>
          </cell>
        </row>
        <row r="158">
          <cell r="H158">
            <v>0</v>
          </cell>
          <cell r="L158">
            <v>0</v>
          </cell>
          <cell r="P158">
            <v>0</v>
          </cell>
          <cell r="T158">
            <v>0</v>
          </cell>
        </row>
        <row r="159">
          <cell r="H159">
            <v>0</v>
          </cell>
          <cell r="L159">
            <v>0</v>
          </cell>
          <cell r="P159">
            <v>0</v>
          </cell>
          <cell r="T159">
            <v>0</v>
          </cell>
        </row>
        <row r="160">
          <cell r="H160">
            <v>0</v>
          </cell>
          <cell r="L160">
            <v>0</v>
          </cell>
          <cell r="P160">
            <v>0</v>
          </cell>
          <cell r="T160">
            <v>0</v>
          </cell>
        </row>
        <row r="161">
          <cell r="H161">
            <v>0</v>
          </cell>
          <cell r="L161">
            <v>0</v>
          </cell>
          <cell r="P161">
            <v>0</v>
          </cell>
          <cell r="T161">
            <v>0</v>
          </cell>
        </row>
        <row r="162">
          <cell r="H162">
            <v>0</v>
          </cell>
          <cell r="L162">
            <v>0</v>
          </cell>
          <cell r="P162">
            <v>0</v>
          </cell>
          <cell r="T162">
            <v>0</v>
          </cell>
        </row>
        <row r="163">
          <cell r="H163">
            <v>0</v>
          </cell>
          <cell r="L163">
            <v>0</v>
          </cell>
          <cell r="P163">
            <v>0</v>
          </cell>
          <cell r="T163">
            <v>0</v>
          </cell>
        </row>
        <row r="164">
          <cell r="H164">
            <v>0</v>
          </cell>
          <cell r="L164">
            <v>0</v>
          </cell>
          <cell r="P164">
            <v>0</v>
          </cell>
          <cell r="T164">
            <v>0</v>
          </cell>
        </row>
        <row r="165">
          <cell r="H165">
            <v>0</v>
          </cell>
          <cell r="L165">
            <v>0</v>
          </cell>
          <cell r="P165">
            <v>0</v>
          </cell>
          <cell r="T165">
            <v>0</v>
          </cell>
        </row>
        <row r="167">
          <cell r="H167">
            <v>0</v>
          </cell>
          <cell r="L167">
            <v>0</v>
          </cell>
          <cell r="P167">
            <v>0</v>
          </cell>
          <cell r="T167">
            <v>0</v>
          </cell>
        </row>
        <row r="171">
          <cell r="H171">
            <v>0</v>
          </cell>
          <cell r="L171">
            <v>0</v>
          </cell>
          <cell r="P171">
            <v>0</v>
          </cell>
          <cell r="T171">
            <v>0</v>
          </cell>
        </row>
        <row r="172">
          <cell r="H172">
            <v>0</v>
          </cell>
          <cell r="L172">
            <v>0</v>
          </cell>
          <cell r="P172">
            <v>0</v>
          </cell>
          <cell r="T172">
            <v>0</v>
          </cell>
        </row>
        <row r="173">
          <cell r="H173">
            <v>0</v>
          </cell>
          <cell r="L173">
            <v>0</v>
          </cell>
          <cell r="P173">
            <v>0</v>
          </cell>
          <cell r="T173">
            <v>0</v>
          </cell>
        </row>
        <row r="174">
          <cell r="H174">
            <v>0</v>
          </cell>
          <cell r="L174">
            <v>0</v>
          </cell>
          <cell r="P174">
            <v>0</v>
          </cell>
          <cell r="T174">
            <v>0</v>
          </cell>
        </row>
        <row r="175">
          <cell r="H175">
            <v>0</v>
          </cell>
          <cell r="L175">
            <v>0</v>
          </cell>
          <cell r="P175">
            <v>0</v>
          </cell>
          <cell r="T175">
            <v>0</v>
          </cell>
        </row>
        <row r="176">
          <cell r="H176">
            <v>0</v>
          </cell>
          <cell r="L176">
            <v>0</v>
          </cell>
          <cell r="P176">
            <v>0</v>
          </cell>
          <cell r="T176">
            <v>0</v>
          </cell>
        </row>
        <row r="177">
          <cell r="H177">
            <v>0</v>
          </cell>
          <cell r="L177">
            <v>0</v>
          </cell>
          <cell r="P177">
            <v>0</v>
          </cell>
          <cell r="T177">
            <v>0</v>
          </cell>
        </row>
        <row r="178">
          <cell r="H178">
            <v>0</v>
          </cell>
          <cell r="L178">
            <v>0</v>
          </cell>
          <cell r="P178">
            <v>0</v>
          </cell>
          <cell r="T178">
            <v>0</v>
          </cell>
        </row>
        <row r="179">
          <cell r="H179">
            <v>0</v>
          </cell>
          <cell r="L179">
            <v>0</v>
          </cell>
          <cell r="P179">
            <v>0</v>
          </cell>
          <cell r="T179">
            <v>0</v>
          </cell>
        </row>
        <row r="180">
          <cell r="H180">
            <v>0</v>
          </cell>
          <cell r="L180">
            <v>0</v>
          </cell>
          <cell r="P180">
            <v>0</v>
          </cell>
          <cell r="T180">
            <v>0</v>
          </cell>
        </row>
        <row r="181">
          <cell r="H181">
            <v>0</v>
          </cell>
          <cell r="L181">
            <v>0</v>
          </cell>
          <cell r="P181">
            <v>0</v>
          </cell>
          <cell r="T181">
            <v>0</v>
          </cell>
        </row>
        <row r="182">
          <cell r="H182">
            <v>0</v>
          </cell>
          <cell r="L182">
            <v>0</v>
          </cell>
          <cell r="P182">
            <v>0</v>
          </cell>
          <cell r="T182">
            <v>0</v>
          </cell>
        </row>
        <row r="183">
          <cell r="H183">
            <v>0</v>
          </cell>
          <cell r="L183">
            <v>0</v>
          </cell>
          <cell r="P183">
            <v>0</v>
          </cell>
          <cell r="T183">
            <v>0</v>
          </cell>
        </row>
        <row r="184">
          <cell r="H184">
            <v>0</v>
          </cell>
          <cell r="L184">
            <v>0</v>
          </cell>
          <cell r="P184">
            <v>0</v>
          </cell>
          <cell r="T184">
            <v>0</v>
          </cell>
        </row>
        <row r="185">
          <cell r="H185">
            <v>0</v>
          </cell>
          <cell r="L185">
            <v>0</v>
          </cell>
          <cell r="P185">
            <v>0</v>
          </cell>
          <cell r="T185">
            <v>0</v>
          </cell>
        </row>
        <row r="186">
          <cell r="H186">
            <v>0</v>
          </cell>
          <cell r="L186">
            <v>0</v>
          </cell>
          <cell r="P186">
            <v>0</v>
          </cell>
          <cell r="T186">
            <v>0</v>
          </cell>
        </row>
        <row r="187">
          <cell r="H187">
            <v>0</v>
          </cell>
          <cell r="L187">
            <v>0</v>
          </cell>
          <cell r="P187">
            <v>0</v>
          </cell>
          <cell r="T187">
            <v>0</v>
          </cell>
        </row>
        <row r="188">
          <cell r="H188">
            <v>0</v>
          </cell>
          <cell r="L188">
            <v>0</v>
          </cell>
          <cell r="P188">
            <v>0</v>
          </cell>
          <cell r="T188">
            <v>0</v>
          </cell>
        </row>
        <row r="189">
          <cell r="H189">
            <v>0</v>
          </cell>
          <cell r="L189">
            <v>0</v>
          </cell>
          <cell r="P189">
            <v>0</v>
          </cell>
          <cell r="T189">
            <v>0</v>
          </cell>
        </row>
        <row r="190">
          <cell r="H190">
            <v>0</v>
          </cell>
          <cell r="L190">
            <v>0</v>
          </cell>
          <cell r="P190">
            <v>0</v>
          </cell>
          <cell r="T190">
            <v>0</v>
          </cell>
        </row>
        <row r="191">
          <cell r="H191">
            <v>0</v>
          </cell>
          <cell r="L191">
            <v>0</v>
          </cell>
          <cell r="P191">
            <v>0</v>
          </cell>
          <cell r="T191">
            <v>0</v>
          </cell>
        </row>
        <row r="192">
          <cell r="H192">
            <v>0</v>
          </cell>
          <cell r="L192">
            <v>0</v>
          </cell>
          <cell r="P192">
            <v>0</v>
          </cell>
          <cell r="T192">
            <v>0</v>
          </cell>
        </row>
        <row r="193">
          <cell r="H193">
            <v>0</v>
          </cell>
          <cell r="L193">
            <v>0</v>
          </cell>
          <cell r="P193">
            <v>0</v>
          </cell>
          <cell r="T193">
            <v>0</v>
          </cell>
        </row>
        <row r="196">
          <cell r="H196">
            <v>0</v>
          </cell>
          <cell r="L196">
            <v>0</v>
          </cell>
          <cell r="P196">
            <v>0</v>
          </cell>
          <cell r="T196">
            <v>0</v>
          </cell>
        </row>
        <row r="197">
          <cell r="H197">
            <v>0</v>
          </cell>
          <cell r="L197">
            <v>0</v>
          </cell>
          <cell r="P197">
            <v>0</v>
          </cell>
          <cell r="T197">
            <v>0</v>
          </cell>
        </row>
        <row r="198">
          <cell r="H198">
            <v>0</v>
          </cell>
          <cell r="L198">
            <v>0</v>
          </cell>
          <cell r="P198">
            <v>0</v>
          </cell>
          <cell r="T198">
            <v>0</v>
          </cell>
        </row>
        <row r="199">
          <cell r="H199">
            <v>0</v>
          </cell>
          <cell r="L199">
            <v>0</v>
          </cell>
          <cell r="P199">
            <v>0</v>
          </cell>
          <cell r="T199">
            <v>0</v>
          </cell>
        </row>
        <row r="200">
          <cell r="H200">
            <v>0</v>
          </cell>
          <cell r="L200">
            <v>0</v>
          </cell>
          <cell r="P200">
            <v>0</v>
          </cell>
          <cell r="T200">
            <v>0</v>
          </cell>
        </row>
        <row r="201">
          <cell r="H201">
            <v>0</v>
          </cell>
          <cell r="L201">
            <v>0</v>
          </cell>
          <cell r="P201">
            <v>0</v>
          </cell>
          <cell r="T201">
            <v>0</v>
          </cell>
        </row>
        <row r="202">
          <cell r="H202">
            <v>0</v>
          </cell>
          <cell r="L202">
            <v>0</v>
          </cell>
          <cell r="P202">
            <v>0</v>
          </cell>
          <cell r="T202">
            <v>0</v>
          </cell>
        </row>
        <row r="203">
          <cell r="H203">
            <v>0</v>
          </cell>
          <cell r="L203">
            <v>0</v>
          </cell>
          <cell r="P203">
            <v>0</v>
          </cell>
          <cell r="T203">
            <v>0</v>
          </cell>
        </row>
        <row r="204">
          <cell r="H204">
            <v>0</v>
          </cell>
          <cell r="L204">
            <v>0</v>
          </cell>
          <cell r="P204">
            <v>0</v>
          </cell>
          <cell r="T204">
            <v>0</v>
          </cell>
        </row>
        <row r="205">
          <cell r="H205">
            <v>0</v>
          </cell>
          <cell r="L205">
            <v>0</v>
          </cell>
          <cell r="P205">
            <v>0</v>
          </cell>
          <cell r="T205">
            <v>0</v>
          </cell>
        </row>
        <row r="206">
          <cell r="H206">
            <v>0</v>
          </cell>
          <cell r="L206">
            <v>0</v>
          </cell>
          <cell r="P206">
            <v>0</v>
          </cell>
          <cell r="T206">
            <v>0</v>
          </cell>
        </row>
        <row r="207">
          <cell r="H207">
            <v>0</v>
          </cell>
          <cell r="L207">
            <v>0</v>
          </cell>
          <cell r="P207">
            <v>0</v>
          </cell>
          <cell r="T207">
            <v>0</v>
          </cell>
        </row>
        <row r="208">
          <cell r="H208">
            <v>0</v>
          </cell>
          <cell r="L208">
            <v>0</v>
          </cell>
          <cell r="P208">
            <v>0</v>
          </cell>
          <cell r="T208">
            <v>0</v>
          </cell>
        </row>
        <row r="209">
          <cell r="H209">
            <v>0</v>
          </cell>
          <cell r="L209">
            <v>0</v>
          </cell>
          <cell r="P209">
            <v>0</v>
          </cell>
          <cell r="T209">
            <v>0</v>
          </cell>
        </row>
        <row r="210">
          <cell r="H210">
            <v>0</v>
          </cell>
          <cell r="L210">
            <v>0</v>
          </cell>
          <cell r="P210">
            <v>0</v>
          </cell>
          <cell r="T210">
            <v>0</v>
          </cell>
        </row>
        <row r="213">
          <cell r="H213">
            <v>0</v>
          </cell>
          <cell r="L213">
            <v>0</v>
          </cell>
          <cell r="P213">
            <v>0</v>
          </cell>
          <cell r="T213">
            <v>0</v>
          </cell>
        </row>
        <row r="214">
          <cell r="H214">
            <v>0</v>
          </cell>
          <cell r="L214">
            <v>0</v>
          </cell>
          <cell r="P214">
            <v>0</v>
          </cell>
          <cell r="T214">
            <v>0</v>
          </cell>
        </row>
        <row r="215">
          <cell r="H215">
            <v>0</v>
          </cell>
          <cell r="L215">
            <v>0</v>
          </cell>
          <cell r="P215">
            <v>0</v>
          </cell>
          <cell r="T215">
            <v>0</v>
          </cell>
        </row>
        <row r="216">
          <cell r="H216">
            <v>0</v>
          </cell>
          <cell r="L216">
            <v>0</v>
          </cell>
          <cell r="P216">
            <v>0</v>
          </cell>
          <cell r="T216">
            <v>0</v>
          </cell>
        </row>
        <row r="217">
          <cell r="H217">
            <v>0</v>
          </cell>
          <cell r="L217">
            <v>0</v>
          </cell>
          <cell r="P217">
            <v>0</v>
          </cell>
          <cell r="T217">
            <v>0</v>
          </cell>
        </row>
        <row r="218">
          <cell r="H218">
            <v>0</v>
          </cell>
          <cell r="L218">
            <v>0</v>
          </cell>
          <cell r="P218">
            <v>0</v>
          </cell>
          <cell r="T218">
            <v>0</v>
          </cell>
        </row>
        <row r="219">
          <cell r="H219">
            <v>0</v>
          </cell>
          <cell r="L219">
            <v>0</v>
          </cell>
          <cell r="P219">
            <v>0</v>
          </cell>
          <cell r="T219">
            <v>0</v>
          </cell>
        </row>
        <row r="220">
          <cell r="H220">
            <v>0</v>
          </cell>
          <cell r="L220">
            <v>0</v>
          </cell>
          <cell r="P220">
            <v>0</v>
          </cell>
          <cell r="T220">
            <v>0</v>
          </cell>
        </row>
        <row r="221">
          <cell r="H221">
            <v>0</v>
          </cell>
          <cell r="L221">
            <v>0</v>
          </cell>
          <cell r="P221">
            <v>0</v>
          </cell>
          <cell r="T221">
            <v>0</v>
          </cell>
        </row>
        <row r="222">
          <cell r="H222">
            <v>0</v>
          </cell>
          <cell r="L222">
            <v>0</v>
          </cell>
          <cell r="P222">
            <v>0</v>
          </cell>
          <cell r="T222">
            <v>0</v>
          </cell>
        </row>
        <row r="223">
          <cell r="H223">
            <v>0</v>
          </cell>
          <cell r="L223">
            <v>0</v>
          </cell>
          <cell r="P223">
            <v>0</v>
          </cell>
          <cell r="T223">
            <v>0</v>
          </cell>
        </row>
        <row r="224">
          <cell r="H224">
            <v>0</v>
          </cell>
          <cell r="L224">
            <v>0</v>
          </cell>
          <cell r="P224">
            <v>0</v>
          </cell>
          <cell r="T224">
            <v>0</v>
          </cell>
        </row>
        <row r="225">
          <cell r="H225">
            <v>0</v>
          </cell>
          <cell r="L225">
            <v>0</v>
          </cell>
          <cell r="P225">
            <v>0</v>
          </cell>
          <cell r="T225">
            <v>0</v>
          </cell>
        </row>
        <row r="226">
          <cell r="H226">
            <v>0</v>
          </cell>
          <cell r="L226">
            <v>0</v>
          </cell>
          <cell r="P226">
            <v>0</v>
          </cell>
          <cell r="T226">
            <v>0</v>
          </cell>
        </row>
        <row r="227">
          <cell r="H227">
            <v>0</v>
          </cell>
          <cell r="L227">
            <v>0</v>
          </cell>
          <cell r="P227">
            <v>0</v>
          </cell>
          <cell r="T227">
            <v>0</v>
          </cell>
        </row>
        <row r="228">
          <cell r="H228">
            <v>0</v>
          </cell>
          <cell r="L228">
            <v>0</v>
          </cell>
          <cell r="P228">
            <v>0</v>
          </cell>
          <cell r="T228">
            <v>0</v>
          </cell>
        </row>
        <row r="229">
          <cell r="H229">
            <v>0</v>
          </cell>
          <cell r="L229">
            <v>0</v>
          </cell>
          <cell r="P229">
            <v>0</v>
          </cell>
          <cell r="T229">
            <v>0</v>
          </cell>
        </row>
        <row r="230">
          <cell r="H230">
            <v>0</v>
          </cell>
          <cell r="L230">
            <v>0</v>
          </cell>
          <cell r="P230">
            <v>0</v>
          </cell>
          <cell r="T230">
            <v>0</v>
          </cell>
        </row>
        <row r="231">
          <cell r="H231">
            <v>0</v>
          </cell>
          <cell r="L231">
            <v>0</v>
          </cell>
          <cell r="P231">
            <v>0</v>
          </cell>
          <cell r="T231">
            <v>0</v>
          </cell>
        </row>
        <row r="232">
          <cell r="H232">
            <v>0</v>
          </cell>
          <cell r="L232">
            <v>0</v>
          </cell>
          <cell r="P232">
            <v>0</v>
          </cell>
          <cell r="T232">
            <v>0</v>
          </cell>
        </row>
        <row r="234">
          <cell r="H234">
            <v>0</v>
          </cell>
          <cell r="L234">
            <v>0</v>
          </cell>
          <cell r="P234">
            <v>0</v>
          </cell>
          <cell r="T234">
            <v>0</v>
          </cell>
        </row>
        <row r="236">
          <cell r="C236" t="str">
            <v>Прочие</v>
          </cell>
          <cell r="L236">
            <v>0</v>
          </cell>
          <cell r="M236" t="str">
            <v>1,8</v>
          </cell>
        </row>
        <row r="237">
          <cell r="C237" t="str">
            <v>Прочие</v>
          </cell>
          <cell r="L237">
            <v>0</v>
          </cell>
          <cell r="M237" t="str">
            <v>1,7</v>
          </cell>
        </row>
        <row r="238">
          <cell r="C238" t="str">
            <v>Прочие</v>
          </cell>
          <cell r="L238">
            <v>0</v>
          </cell>
          <cell r="M238" t="str">
            <v>1,8</v>
          </cell>
        </row>
        <row r="240">
          <cell r="H240">
            <v>3509217.13755649</v>
          </cell>
          <cell r="L240">
            <v>26828350.045520891</v>
          </cell>
          <cell r="P240">
            <v>53230393.902544037</v>
          </cell>
          <cell r="T240">
            <v>0</v>
          </cell>
        </row>
      </sheetData>
      <sheetData sheetId="18" refreshError="1"/>
      <sheetData sheetId="19" refreshError="1">
        <row r="8">
          <cell r="B8" t="str">
            <v>Здания, сооружения</v>
          </cell>
        </row>
        <row r="9">
          <cell r="B9" t="str">
            <v>Производственное оборудование</v>
          </cell>
        </row>
        <row r="10">
          <cell r="B10" t="str">
            <v xml:space="preserve">Прочее оборудование </v>
          </cell>
        </row>
        <row r="11">
          <cell r="B11" t="str">
            <v>Прочие</v>
          </cell>
        </row>
        <row r="12">
          <cell r="B12" t="str">
            <v>Земля</v>
          </cell>
        </row>
      </sheetData>
      <sheetData sheetId="20" refreshError="1"/>
      <sheetData sheetId="21" refreshError="1">
        <row r="125">
          <cell r="F125">
            <v>1252742.881713433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Главн"/>
      <sheetName val="Пояснения"/>
      <sheetName val="Эффективность"/>
      <sheetName val="Рас.эффект"/>
      <sheetName val="№ 2 Товар.выпуск"/>
      <sheetName val="№ 3 Реализация"/>
      <sheetName val="Доходы"/>
      <sheetName val="Себест реал"/>
      <sheetName val="Cash"/>
      <sheetName val="CF"/>
      <sheetName val="P&amp;L"/>
      <sheetName val="Кредиты"/>
      <sheetName val="Кредиты 2"/>
      <sheetName val="Кредиты 3"/>
      <sheetName val="№ 1 Произв.прогр"/>
      <sheetName val="Произв.мощн"/>
      <sheetName val="График работ"/>
      <sheetName val="Invest"/>
      <sheetName val="Лист1"/>
      <sheetName val="Граф кап инвестиц"/>
      <sheetName val="Граф произв инвестиц"/>
      <sheetName val="Амортиз"/>
      <sheetName val="Спр.мат"/>
      <sheetName val="Материалы"/>
      <sheetName val="№ 4 Материалы полн"/>
      <sheetName val="Материалы по ассорт"/>
      <sheetName val="Упаковка"/>
      <sheetName val="№ 4-1 Мат 0,5 ЗС"/>
      <sheetName val="№ 4-2 Мат 0,7 ЗС"/>
      <sheetName val="№ 4-3 Мат 0,5 обл"/>
      <sheetName val="№ 4-4 Мат 0,5 ст"/>
      <sheetName val="№ 4-5 Мат 0,5 ст шелкогр"/>
      <sheetName val="Мат 6"/>
      <sheetName val="Мат 7"/>
      <sheetName val="Мат 8"/>
      <sheetName val="Мат 9"/>
      <sheetName val="Мат 10"/>
      <sheetName val="Мат 11"/>
      <sheetName val="Мат 12"/>
      <sheetName val="Мат 13"/>
      <sheetName val="Мат 14"/>
      <sheetName val="Мат Тов-15"/>
      <sheetName val="Мат Тов-16"/>
      <sheetName val="Мат Тов-17"/>
      <sheetName val="Мат Тов-18"/>
      <sheetName val="Мат Тов-19"/>
      <sheetName val="Мат Тов-20"/>
      <sheetName val="№ 5 Энерго"/>
      <sheetName val="Персонал"/>
      <sheetName val="Налоги"/>
      <sheetName val="№ 6-1 Свод затрат без НДС"/>
      <sheetName val="№ 6-2 Свод затрат с НДС"/>
      <sheetName val="№ 7 КАЛЬКУЛ 1-2"/>
      <sheetName val="№ 7 КАЛЬКУЛ 3-4"/>
      <sheetName val="КАЛЬКУЛ 5"/>
      <sheetName val="Затраты по месяцам"/>
      <sheetName val="Нал на трансп"/>
      <sheetName val="Ставки соц"/>
      <sheetName val="Ставки под.физ"/>
      <sheetName val="ГСМ"/>
      <sheetName val="График"/>
    </sheetNames>
    <sheetDataSet>
      <sheetData sheetId="0" refreshError="1">
        <row r="42">
          <cell r="D42">
            <v>0.14000000000000001</v>
          </cell>
          <cell r="E42">
            <v>0.14000000000000001</v>
          </cell>
          <cell r="F42">
            <v>0.14000000000000001</v>
          </cell>
          <cell r="G42">
            <v>0.14000000000000001</v>
          </cell>
          <cell r="H42">
            <v>0.14000000000000001</v>
          </cell>
          <cell r="I42">
            <v>0.12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0.3</v>
          </cell>
          <cell r="J46">
            <v>0.3</v>
          </cell>
          <cell r="K46">
            <v>0.3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Предположения"/>
      <sheetName val="Дополнительные основные едств"/>
      <sheetName val="Столовая"/>
      <sheetName val="ФОТ"/>
      <sheetName val="Вводные данные"/>
      <sheetName val="Финансирование"/>
      <sheetName val="ДР"/>
      <sheetName val="НДС"/>
      <sheetName val="ОПУ и ДП"/>
      <sheetName val="Анализ и БЭ"/>
      <sheetName val="Итоги"/>
      <sheetName val="Оценка рисков"/>
      <sheetName val="Баланс рисков"/>
      <sheetName val="Проверки"/>
      <sheetName val="ДП (БИП)"/>
      <sheetName val="Для КП и ПД"/>
    </sheetNames>
    <sheetDataSet>
      <sheetData sheetId="0">
        <row r="31">
          <cell r="D31">
            <v>0.10714285714285714</v>
          </cell>
        </row>
        <row r="108">
          <cell r="C108">
            <v>49152902.260399997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ExecSum"/>
      <sheetName val="Index"/>
      <sheetName val="Map"/>
      <sheetName val="Assum"/>
      <sheetName val="Scen"/>
      <sheetName val="Invest"/>
      <sheetName val="Ops"/>
      <sheetName val="Financing"/>
      <sheetName val="Tax"/>
      <sheetName val="Acct"/>
      <sheetName val="Val"/>
      <sheetName val="Govt"/>
      <sheetName val="Comps"/>
      <sheetName val="Checks"/>
      <sheetName val="Ouptuts"/>
    </sheetNames>
    <sheetDataSet>
      <sheetData sheetId="0">
        <row r="6">
          <cell r="D6" t="str">
            <v>Scenario 4E</v>
          </cell>
        </row>
      </sheetData>
      <sheetData sheetId="1"/>
      <sheetData sheetId="2">
        <row r="21">
          <cell r="D21">
            <v>65.399999999999991</v>
          </cell>
        </row>
      </sheetData>
      <sheetData sheetId="3">
        <row r="5">
          <cell r="G5">
            <v>41640</v>
          </cell>
        </row>
        <row r="17">
          <cell r="E17">
            <v>1000</v>
          </cell>
        </row>
        <row r="19">
          <cell r="E19">
            <v>1000000</v>
          </cell>
        </row>
        <row r="24">
          <cell r="E24">
            <v>365</v>
          </cell>
        </row>
        <row r="26">
          <cell r="E26">
            <v>182.5</v>
          </cell>
        </row>
        <row r="64">
          <cell r="E64">
            <v>12</v>
          </cell>
        </row>
        <row r="83"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1.0294367391928461</v>
          </cell>
          <cell r="P83">
            <v>1.0597399999999997</v>
          </cell>
          <cell r="Q83">
            <v>1.0915321999999996</v>
          </cell>
          <cell r="R83">
            <v>1.1242781659999996</v>
          </cell>
          <cell r="S83">
            <v>1.1580065109799997</v>
          </cell>
          <cell r="T83">
            <v>1.1927467063093997</v>
          </cell>
          <cell r="U83">
            <v>1.2285291074986817</v>
          </cell>
          <cell r="V83">
            <v>1.2653849807236421</v>
          </cell>
          <cell r="W83">
            <v>1.3033465301453515</v>
          </cell>
          <cell r="X83">
            <v>1.3424469260497121</v>
          </cell>
          <cell r="Y83">
            <v>1.3827203338312035</v>
          </cell>
          <cell r="Z83">
            <v>1.4242019438461397</v>
          </cell>
          <cell r="AA83">
            <v>1.4669280021615241</v>
          </cell>
          <cell r="AB83">
            <v>1.5109358422263699</v>
          </cell>
          <cell r="AC83">
            <v>1.556263917493161</v>
          </cell>
          <cell r="AD83">
            <v>1.6029518350179559</v>
          </cell>
          <cell r="AE83">
            <v>1.6510403900684947</v>
          </cell>
          <cell r="AF83">
            <v>1.7005716017705497</v>
          </cell>
          <cell r="AG83">
            <v>1.7515887498236662</v>
          </cell>
          <cell r="AH83">
            <v>1.8041364123183763</v>
          </cell>
          <cell r="AI83">
            <v>1.8582605046879277</v>
          </cell>
          <cell r="AJ83">
            <v>1.9140083198285656</v>
          </cell>
          <cell r="AK83">
            <v>1.9714285694234226</v>
          </cell>
          <cell r="AL83">
            <v>2.0305714265061252</v>
          </cell>
          <cell r="AM83">
            <v>2.0914885693013092</v>
          </cell>
          <cell r="AN83">
            <v>2.1542332263803488</v>
          </cell>
          <cell r="AO83">
            <v>2.2188602231717591</v>
          </cell>
          <cell r="AP83">
            <v>2.2854260298669118</v>
          </cell>
          <cell r="AQ83">
            <v>2.3539888107629192</v>
          </cell>
          <cell r="AR83">
            <v>2.4246084750858068</v>
          </cell>
          <cell r="AS83">
            <v>2.4973467293383811</v>
          </cell>
          <cell r="AT83">
            <v>2.5722671312185326</v>
          </cell>
          <cell r="AU83">
            <v>2.6494351451550888</v>
          </cell>
          <cell r="AV83">
            <v>2.7289181995097413</v>
          </cell>
          <cell r="AW83">
            <v>2.8107857454950338</v>
          </cell>
          <cell r="AX83">
            <v>2.8951093178598848</v>
          </cell>
          <cell r="AY83">
            <v>2.9819625973956816</v>
          </cell>
          <cell r="AZ83">
            <v>3.0714214753175519</v>
          </cell>
          <cell r="BA83">
            <v>3.1635641195770785</v>
          </cell>
          <cell r="BB83">
            <v>3.2584710431643908</v>
          </cell>
          <cell r="BC83">
            <v>3.3562251744593228</v>
          </cell>
          <cell r="BD83">
            <v>3.4569119296931023</v>
          </cell>
          <cell r="BE83">
            <v>3.5606192875838953</v>
          </cell>
          <cell r="BF83">
            <v>3.6674378662114124</v>
          </cell>
          <cell r="BG83">
            <v>3.777461002197755</v>
          </cell>
          <cell r="BH83">
            <v>3.8907848322636878</v>
          </cell>
          <cell r="BI83">
            <v>4.0075083772315985</v>
          </cell>
          <cell r="BJ83">
            <v>4.1277336285485466</v>
          </cell>
          <cell r="BK83">
            <v>4.2515656374050028</v>
          </cell>
          <cell r="BL83">
            <v>4.3791126065271531</v>
          </cell>
          <cell r="BM83">
            <v>4.5104859847229681</v>
          </cell>
          <cell r="BN83">
            <v>4.6458005642646576</v>
          </cell>
        </row>
        <row r="84">
          <cell r="G84">
            <v>6.6185717122245018E-3</v>
          </cell>
          <cell r="H84">
            <v>6.471305479875413E-3</v>
          </cell>
          <cell r="I84">
            <v>6.3368524252608097E-3</v>
          </cell>
          <cell r="J84">
            <v>6.2051928755968554E-3</v>
          </cell>
          <cell r="K84">
            <v>6.0893966943092017E-3</v>
          </cell>
          <cell r="L84">
            <v>5.9757614056593156E-3</v>
          </cell>
          <cell r="M84">
            <v>5.8668378612481949E-3</v>
          </cell>
          <cell r="N84">
            <v>5.7598997271842561E-3</v>
          </cell>
          <cell r="O84">
            <v>5.6581508771169891E-3</v>
          </cell>
          <cell r="P84">
            <v>5.5581994243969618E-3</v>
          </cell>
          <cell r="Q84">
            <v>5.477254772585355E-3</v>
          </cell>
          <cell r="R84">
            <v>5.3974889263826544E-3</v>
          </cell>
          <cell r="S84">
            <v>5.3188847187168875E-3</v>
          </cell>
          <cell r="T84">
            <v>5.2414252325219809E-3</v>
          </cell>
          <cell r="U84">
            <v>5.1650937970969023E-3</v>
          </cell>
          <cell r="V84">
            <v>5.0898739845178205E-3</v>
          </cell>
          <cell r="W84">
            <v>5.0157496061025118E-3</v>
          </cell>
          <cell r="X84">
            <v>4.9427047089262606E-3</v>
          </cell>
          <cell r="Y84">
            <v>4.870723572388499E-3</v>
          </cell>
          <cell r="Z84">
            <v>4.7997907048294422E-3</v>
          </cell>
          <cell r="AA84">
            <v>4.7298908401960027E-3</v>
          </cell>
          <cell r="AB84">
            <v>4.6610089347562545E-3</v>
          </cell>
          <cell r="AC84">
            <v>4.5931301638617462E-3</v>
          </cell>
          <cell r="AD84">
            <v>4.5262399187569625E-3</v>
          </cell>
          <cell r="AE84">
            <v>4.460323803435258E-3</v>
          </cell>
          <cell r="AF84">
            <v>4.3953676315405688E-3</v>
          </cell>
          <cell r="AG84">
            <v>4.3313574233142492E-3</v>
          </cell>
          <cell r="AH84">
            <v>4.2682794025863712E-3</v>
          </cell>
          <cell r="AI84">
            <v>4.2061199938108413E-3</v>
          </cell>
          <cell r="AJ84">
            <v>4.1448658191436932E-3</v>
          </cell>
          <cell r="AK84">
            <v>4.08450369556393E-3</v>
          </cell>
          <cell r="AL84">
            <v>4.025020632036299E-3</v>
          </cell>
          <cell r="AM84">
            <v>3.9664038267153813E-3</v>
          </cell>
          <cell r="AN84">
            <v>3.9086406641903994E-3</v>
          </cell>
          <cell r="AO84">
            <v>3.8517187127701503E-3</v>
          </cell>
          <cell r="AP84">
            <v>3.7956257218074779E-3</v>
          </cell>
          <cell r="AQ84">
            <v>3.7403496190627082E-3</v>
          </cell>
          <cell r="AR84">
            <v>3.685878508105484E-3</v>
          </cell>
          <cell r="AS84">
            <v>3.6322006657544328E-3</v>
          </cell>
          <cell r="AT84">
            <v>3.5793045395541251E-3</v>
          </cell>
          <cell r="AU84">
            <v>3.5271787452887731E-3</v>
          </cell>
          <cell r="AV84">
            <v>3.47581206453214E-3</v>
          </cell>
          <cell r="AW84">
            <v>3.4251934422331277E-3</v>
          </cell>
          <cell r="AX84">
            <v>3.3753119843365283E-3</v>
          </cell>
          <cell r="AY84">
            <v>3.3261569554384231E-3</v>
          </cell>
          <cell r="AZ84">
            <v>3.2777177764757273E-3</v>
          </cell>
          <cell r="BA84">
            <v>3.2299840224493813E-3</v>
          </cell>
          <cell r="BB84">
            <v>3.1829454201807005E-3</v>
          </cell>
          <cell r="BC84">
            <v>3.1365918461003983E-3</v>
          </cell>
          <cell r="BD84">
            <v>3.0909133240698094E-3</v>
          </cell>
          <cell r="BE84">
            <v>3.0459000232338409E-3</v>
          </cell>
          <cell r="BF84">
            <v>3.0015422559051923E-3</v>
          </cell>
          <cell r="BG84">
            <v>2.9578304754793883E-3</v>
          </cell>
          <cell r="BH84">
            <v>2.9147552743801737E-3</v>
          </cell>
          <cell r="BI84">
            <v>2.872307382034831E-3</v>
          </cell>
          <cell r="BJ84">
            <v>2.8304776628789836E-3</v>
          </cell>
          <cell r="BK84">
            <v>2.7892571143904544E-3</v>
          </cell>
          <cell r="BL84">
            <v>2.748636865151758E-3</v>
          </cell>
          <cell r="BM84">
            <v>2.70860817294081E-3</v>
          </cell>
          <cell r="BN84">
            <v>2.6691624228494387E-3</v>
          </cell>
        </row>
        <row r="86">
          <cell r="G86">
            <v>4.8999999999999998E-3</v>
          </cell>
          <cell r="H86">
            <v>4.7862130174742019E-3</v>
          </cell>
          <cell r="I86">
            <v>4.6773072889305812E-3</v>
          </cell>
          <cell r="J86">
            <v>4.5708796067393297E-3</v>
          </cell>
          <cell r="K86">
            <v>4.4753697054150032E-3</v>
          </cell>
          <cell r="L86">
            <v>4.381855512145978E-3</v>
          </cell>
          <cell r="M86">
            <v>4.2904776501968694E-3</v>
          </cell>
          <cell r="N86">
            <v>4.2010053539678635E-3</v>
          </cell>
          <cell r="O86">
            <v>4.115337968384751E-3</v>
          </cell>
          <cell r="P86">
            <v>4.0314175220064917E-3</v>
          </cell>
          <cell r="Q86">
            <v>3.9570515677170509E-3</v>
          </cell>
          <cell r="R86">
            <v>3.8840574125844057E-3</v>
          </cell>
          <cell r="S86">
            <v>3.8124097515755671E-3</v>
          </cell>
          <cell r="T86">
            <v>3.7420837464494155E-3</v>
          </cell>
          <cell r="U86">
            <v>3.6730550171459792E-3</v>
          </cell>
          <cell r="V86">
            <v>3.6052996333345482E-3</v>
          </cell>
          <cell r="W86">
            <v>3.5387941061176967E-3</v>
          </cell>
          <cell r="X86">
            <v>3.4735153798883403E-3</v>
          </cell>
          <cell r="Y86">
            <v>3.4094408243370016E-3</v>
          </cell>
          <cell r="Z86">
            <v>3.3465482266065126E-3</v>
          </cell>
          <cell r="AA86">
            <v>3.2848157835914404E-3</v>
          </cell>
          <cell r="AB86">
            <v>3.2242220943795594E-3</v>
          </cell>
          <cell r="AC86">
            <v>3.1647461528327516E-3</v>
          </cell>
          <cell r="AD86">
            <v>3.1063673403047684E-3</v>
          </cell>
          <cell r="AE86">
            <v>3.0490654184933208E-3</v>
          </cell>
          <cell r="AF86">
            <v>2.9928205224240261E-3</v>
          </cell>
          <cell r="AG86">
            <v>2.9376131535637767E-3</v>
          </cell>
          <cell r="AH86">
            <v>2.8834241730611434E-3</v>
          </cell>
          <cell r="AI86">
            <v>2.8302347951114715E-3</v>
          </cell>
          <cell r="AJ86">
            <v>2.7780265804443665E-3</v>
          </cell>
          <cell r="AK86">
            <v>2.7267814299313147E-3</v>
          </cell>
          <cell r="AL86">
            <v>2.6764815783112223E-3</v>
          </cell>
          <cell r="AM86">
            <v>2.6271095880316944E-3</v>
          </cell>
          <cell r="AN86">
            <v>2.5786483432039251E-3</v>
          </cell>
          <cell r="AO86">
            <v>2.5310810436690949E-3</v>
          </cell>
          <cell r="AP86">
            <v>2.4843911991742277E-3</v>
          </cell>
          <cell r="AQ86">
            <v>2.4385626236554797E-3</v>
          </cell>
          <cell r="AR86">
            <v>2.393579429626883E-3</v>
          </cell>
          <cell r="AS86">
            <v>2.3494260226726003E-3</v>
          </cell>
          <cell r="AT86">
            <v>2.3060870960407752E-3</v>
          </cell>
          <cell r="AU86">
            <v>2.2635476253371101E-3</v>
          </cell>
          <cell r="AV86">
            <v>2.2217928633163284E-3</v>
          </cell>
          <cell r="AW86">
            <v>2.1808083347697165E-3</v>
          </cell>
          <cell r="AX86">
            <v>2.1405798315069736E-3</v>
          </cell>
          <cell r="AY86">
            <v>2.1010934074306314E-3</v>
          </cell>
          <cell r="AZ86">
            <v>2.0623353737013279E-3</v>
          </cell>
          <cell r="BA86">
            <v>2.0242922939922741E-3</v>
          </cell>
          <cell r="BB86">
            <v>1.9869509798312512E-3</v>
          </cell>
          <cell r="BC86">
            <v>1.9502984860285386E-3</v>
          </cell>
          <cell r="BD86">
            <v>1.914322106189177E-3</v>
          </cell>
          <cell r="BE86">
            <v>1.8790093683080172E-3</v>
          </cell>
          <cell r="BF86">
            <v>1.8443480304460244E-3</v>
          </cell>
          <cell r="BG86">
            <v>1.8103260764863402E-3</v>
          </cell>
          <cell r="BH86">
            <v>1.7769317119686306E-3</v>
          </cell>
          <cell r="BI86">
            <v>1.744153360000277E-3</v>
          </cell>
          <cell r="BJ86">
            <v>1.7119796572429903E-3</v>
          </cell>
          <cell r="BK86">
            <v>1.6803994499734593E-3</v>
          </cell>
          <cell r="BL86">
            <v>1.6494017902166673E-3</v>
          </cell>
          <cell r="BM86">
            <v>1.6189759319505345E-3</v>
          </cell>
          <cell r="BN86">
            <v>1.589111327380573E-3</v>
          </cell>
        </row>
        <row r="161">
          <cell r="G161">
            <v>0.2</v>
          </cell>
          <cell r="H161">
            <v>0.2</v>
          </cell>
          <cell r="I161">
            <v>0.2</v>
          </cell>
          <cell r="J161">
            <v>0.2</v>
          </cell>
          <cell r="K161">
            <v>0.2</v>
          </cell>
          <cell r="L161">
            <v>0.2</v>
          </cell>
          <cell r="M161">
            <v>0.2</v>
          </cell>
          <cell r="N161">
            <v>0.2</v>
          </cell>
          <cell r="O161">
            <v>0.2</v>
          </cell>
          <cell r="P161">
            <v>0.2</v>
          </cell>
          <cell r="Q161">
            <v>0.2</v>
          </cell>
          <cell r="R161">
            <v>0.2</v>
          </cell>
          <cell r="S161">
            <v>0.2</v>
          </cell>
          <cell r="T161">
            <v>0.2</v>
          </cell>
          <cell r="U161">
            <v>0.2</v>
          </cell>
          <cell r="V161">
            <v>0.2</v>
          </cell>
          <cell r="W161">
            <v>0.2</v>
          </cell>
          <cell r="X161">
            <v>0.2</v>
          </cell>
          <cell r="Y161">
            <v>0.2</v>
          </cell>
          <cell r="Z161">
            <v>0.2</v>
          </cell>
          <cell r="AA161">
            <v>0.2</v>
          </cell>
          <cell r="AB161">
            <v>0.2</v>
          </cell>
          <cell r="AC161">
            <v>0.2</v>
          </cell>
          <cell r="AD161">
            <v>0.2</v>
          </cell>
          <cell r="AE161">
            <v>0.2</v>
          </cell>
          <cell r="AF161">
            <v>0.2</v>
          </cell>
          <cell r="AG161">
            <v>0.2</v>
          </cell>
          <cell r="AH161">
            <v>0.2</v>
          </cell>
          <cell r="AI161">
            <v>0.2</v>
          </cell>
          <cell r="AJ161">
            <v>0.2</v>
          </cell>
          <cell r="AK161">
            <v>0.2</v>
          </cell>
          <cell r="AL161">
            <v>0.2</v>
          </cell>
          <cell r="AM161">
            <v>0.2</v>
          </cell>
          <cell r="AN161">
            <v>0.2</v>
          </cell>
          <cell r="AO161">
            <v>0.2</v>
          </cell>
          <cell r="AP161">
            <v>0.2</v>
          </cell>
          <cell r="AQ161">
            <v>0.2</v>
          </cell>
          <cell r="AR161">
            <v>0.2</v>
          </cell>
          <cell r="AS161">
            <v>0.2</v>
          </cell>
          <cell r="AT161">
            <v>0.2</v>
          </cell>
          <cell r="AU161">
            <v>0.2</v>
          </cell>
          <cell r="AV161">
            <v>0.2</v>
          </cell>
          <cell r="AW161">
            <v>0.2</v>
          </cell>
          <cell r="AX161">
            <v>0.2</v>
          </cell>
          <cell r="AY161">
            <v>0.2</v>
          </cell>
          <cell r="AZ161">
            <v>0.2</v>
          </cell>
          <cell r="BA161">
            <v>0.2</v>
          </cell>
          <cell r="BB161">
            <v>0.2</v>
          </cell>
          <cell r="BC161">
            <v>0.2</v>
          </cell>
          <cell r="BD161">
            <v>0.2</v>
          </cell>
          <cell r="BE161">
            <v>0.2</v>
          </cell>
          <cell r="BF161">
            <v>0.2</v>
          </cell>
          <cell r="BG161">
            <v>0.2</v>
          </cell>
          <cell r="BH161">
            <v>0.2</v>
          </cell>
          <cell r="BI161">
            <v>0.2</v>
          </cell>
          <cell r="BJ161">
            <v>0.2</v>
          </cell>
          <cell r="BK161">
            <v>0.2</v>
          </cell>
          <cell r="BL161">
            <v>0.2</v>
          </cell>
          <cell r="BM161">
            <v>0.2</v>
          </cell>
          <cell r="BN161">
            <v>0.2</v>
          </cell>
        </row>
      </sheetData>
      <sheetData sheetId="4"/>
      <sheetData sheetId="5">
        <row r="87">
          <cell r="G87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</row>
        <row r="182">
          <cell r="G182">
            <v>-579.45133500103771</v>
          </cell>
          <cell r="H182">
            <v>-1623.515001124307</v>
          </cell>
          <cell r="I182">
            <v>-2647.5505133929391</v>
          </cell>
          <cell r="J182">
            <v>-3634.4067985630745</v>
          </cell>
          <cell r="K182">
            <v>-5759.8201455648286</v>
          </cell>
          <cell r="L182">
            <v>-7810.5674723408165</v>
          </cell>
          <cell r="M182">
            <v>-8846.7784333199106</v>
          </cell>
          <cell r="N182">
            <v>-9845.9734062115513</v>
          </cell>
          <cell r="O182">
            <v>-10236.894971881644</v>
          </cell>
          <cell r="P182">
            <v>-10167.190481122108</v>
          </cell>
          <cell r="Q182">
            <v>-10100.161388256809</v>
          </cell>
          <cell r="R182">
            <v>-10035.785808166565</v>
          </cell>
          <cell r="S182">
            <v>-9974.0425610568691</v>
          </cell>
          <cell r="T182">
            <v>-9914.9111658110633</v>
          </cell>
          <cell r="U182">
            <v>-9858.3718335309313</v>
          </cell>
          <cell r="V182">
            <v>-9804.4054612627206</v>
          </cell>
          <cell r="W182">
            <v>-9752.9936259066744</v>
          </cell>
          <cell r="X182">
            <v>-9704.1185783082037</v>
          </cell>
          <cell r="Y182">
            <v>-10185.507006245458</v>
          </cell>
          <cell r="Z182">
            <v>-10668.519149780728</v>
          </cell>
          <cell r="AA182">
            <v>-10609.577825702288</v>
          </cell>
          <cell r="AB182">
            <v>-10553.401866951426</v>
          </cell>
          <cell r="AC182">
            <v>-10499.971929254907</v>
          </cell>
          <cell r="AD182">
            <v>-10449.269391921285</v>
          </cell>
          <cell r="AE182">
            <v>-10401.27635179887</v>
          </cell>
          <cell r="AF182">
            <v>-10355.975617424636</v>
          </cell>
          <cell r="AG182">
            <v>-10313.35070336231</v>
          </cell>
          <cell r="AH182">
            <v>-10273.385824727777</v>
          </cell>
          <cell r="AI182">
            <v>-10848.534080648369</v>
          </cell>
          <cell r="AJ182">
            <v>-11425.292102598612</v>
          </cell>
          <cell r="AK182">
            <v>-11372.820954945955</v>
          </cell>
          <cell r="AL182">
            <v>-11323.293582231701</v>
          </cell>
          <cell r="AM182">
            <v>-11683.707773235024</v>
          </cell>
          <cell r="AN182">
            <v>-12046.352097315568</v>
          </cell>
          <cell r="AO182">
            <v>-12304.212394667062</v>
          </cell>
          <cell r="AP182">
            <v>-12564.654512880632</v>
          </cell>
          <cell r="AQ182">
            <v>-12506.084526183209</v>
          </cell>
          <cell r="AR182">
            <v>-12450.753319758503</v>
          </cell>
          <cell r="AS182">
            <v>-19506.582694875084</v>
          </cell>
          <cell r="AT182">
            <v>-26553.76504269641</v>
          </cell>
          <cell r="AU182">
            <v>-26271.299348379689</v>
          </cell>
          <cell r="AV182">
            <v>-25995.942871480838</v>
          </cell>
          <cell r="AW182">
            <v>-25727.61314688058</v>
          </cell>
          <cell r="AX182">
            <v>-25466.229624205858</v>
          </cell>
          <cell r="AY182">
            <v>-25211.713644022315</v>
          </cell>
          <cell r="AZ182">
            <v>-24963.988414545129</v>
          </cell>
          <cell r="BA182">
            <v>-24722.978988861414</v>
          </cell>
          <cell r="BB182">
            <v>-24488.612242657469</v>
          </cell>
          <cell r="BC182">
            <v>-25085.722698812609</v>
          </cell>
          <cell r="BD182">
            <v>-25687.960123934823</v>
          </cell>
          <cell r="BE182">
            <v>-25445.626625115194</v>
          </cell>
          <cell r="BF182">
            <v>-25210.119005491251</v>
          </cell>
          <cell r="BG182">
            <v>-24981.36530522296</v>
          </cell>
          <cell r="BH182">
            <v>-24759.295390873154</v>
          </cell>
          <cell r="BI182">
            <v>-24543.840934373569</v>
          </cell>
          <cell r="BJ182">
            <v>-24334.935392482537</v>
          </cell>
          <cell r="BK182">
            <v>-29618.343190765227</v>
          </cell>
          <cell r="BL182">
            <v>-34899.029043232229</v>
          </cell>
          <cell r="BM182">
            <v>-39692.134400591713</v>
          </cell>
          <cell r="BN182">
            <v>-44485.976006283076</v>
          </cell>
        </row>
        <row r="183">
          <cell r="G183">
            <v>34187.628765061221</v>
          </cell>
          <cell r="H183">
            <v>95787.385066334115</v>
          </cell>
          <cell r="I183">
            <v>156205.48029018342</v>
          </cell>
          <cell r="J183">
            <v>214430.00111522138</v>
          </cell>
          <cell r="K183">
            <v>339829.38858832489</v>
          </cell>
          <cell r="L183">
            <v>460823.48086810816</v>
          </cell>
          <cell r="M183">
            <v>521959.92756587471</v>
          </cell>
          <cell r="N183">
            <v>580912.43096648145</v>
          </cell>
          <cell r="O183">
            <v>603976.80334101699</v>
          </cell>
          <cell r="P183">
            <v>599864.23838620435</v>
          </cell>
          <cell r="Q183">
            <v>595909.52190715168</v>
          </cell>
          <cell r="R183">
            <v>592111.36268182728</v>
          </cell>
          <cell r="S183">
            <v>588468.5111023552</v>
          </cell>
          <cell r="T183">
            <v>584979.75878285267</v>
          </cell>
          <cell r="U183">
            <v>581643.93817832496</v>
          </cell>
          <cell r="V183">
            <v>578459.92221450061</v>
          </cell>
          <cell r="W183">
            <v>575426.62392849382</v>
          </cell>
          <cell r="X183">
            <v>572542.99612018396</v>
          </cell>
          <cell r="Y183">
            <v>600944.91336848203</v>
          </cell>
          <cell r="Z183">
            <v>629442.62983706291</v>
          </cell>
          <cell r="AA183">
            <v>625965.09171643504</v>
          </cell>
          <cell r="AB183">
            <v>622650.71015013417</v>
          </cell>
          <cell r="AC183">
            <v>619498.34382603946</v>
          </cell>
          <cell r="AD183">
            <v>616506.89412335586</v>
          </cell>
          <cell r="AE183">
            <v>613675.30475613324</v>
          </cell>
          <cell r="AF183">
            <v>611002.56142805354</v>
          </cell>
          <cell r="AG183">
            <v>608487.69149837631</v>
          </cell>
          <cell r="AH183">
            <v>606129.76365893881</v>
          </cell>
          <cell r="AI183">
            <v>640063.51075825386</v>
          </cell>
          <cell r="AJ183">
            <v>674092.23405331816</v>
          </cell>
          <cell r="AK183">
            <v>670996.43634181132</v>
          </cell>
          <cell r="AL183">
            <v>668074.32135167031</v>
          </cell>
          <cell r="AM183">
            <v>689338.75862086646</v>
          </cell>
          <cell r="AN183">
            <v>710734.7737416185</v>
          </cell>
          <cell r="AO183">
            <v>725948.53128535661</v>
          </cell>
          <cell r="AP183">
            <v>741314.61625995731</v>
          </cell>
          <cell r="AQ183">
            <v>737858.98704480939</v>
          </cell>
          <cell r="AR183">
            <v>734594.44586575171</v>
          </cell>
          <cell r="AS183">
            <v>1150888.37899763</v>
          </cell>
          <cell r="AT183">
            <v>1566672.1375190883</v>
          </cell>
          <cell r="AU183">
            <v>1550006.6615544017</v>
          </cell>
          <cell r="AV183">
            <v>1533760.6294173694</v>
          </cell>
          <cell r="AW183">
            <v>1517929.1756659541</v>
          </cell>
          <cell r="AX183">
            <v>1502507.5478281456</v>
          </cell>
          <cell r="AY183">
            <v>1487491.1049973166</v>
          </cell>
          <cell r="AZ183">
            <v>1472875.3164581626</v>
          </cell>
          <cell r="BA183">
            <v>1458655.7603428233</v>
          </cell>
          <cell r="BB183">
            <v>1444828.1223167907</v>
          </cell>
          <cell r="BC183">
            <v>1480057.639229944</v>
          </cell>
          <cell r="BD183">
            <v>1515589.6473121545</v>
          </cell>
          <cell r="BE183">
            <v>1501291.9708817964</v>
          </cell>
          <cell r="BF183">
            <v>1487397.0213239838</v>
          </cell>
          <cell r="BG183">
            <v>1473900.5530081545</v>
          </cell>
          <cell r="BH183">
            <v>1460798.428061516</v>
          </cell>
          <cell r="BI183">
            <v>1448086.6151280405</v>
          </cell>
          <cell r="BJ183">
            <v>1435761.1881564697</v>
          </cell>
          <cell r="BK183">
            <v>1747482.2482551483</v>
          </cell>
          <cell r="BL183">
            <v>2059042.7135507013</v>
          </cell>
          <cell r="BM183">
            <v>2341835.929634911</v>
          </cell>
          <cell r="BN183">
            <v>2624672.5843707016</v>
          </cell>
        </row>
      </sheetData>
      <sheetData sheetId="6">
        <row r="17">
          <cell r="G17">
            <v>100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</row>
        <row r="122">
          <cell r="G122">
            <v>2969.0265026521565</v>
          </cell>
          <cell r="H122">
            <v>3123.8308615215542</v>
          </cell>
          <cell r="I122">
            <v>3283.6877752885016</v>
          </cell>
          <cell r="J122">
            <v>3446.2573701024153</v>
          </cell>
          <cell r="K122">
            <v>3614.1633400704272</v>
          </cell>
          <cell r="L122">
            <v>3785.0986457341346</v>
          </cell>
          <cell r="M122">
            <v>3962.5013487767355</v>
          </cell>
          <cell r="N122">
            <v>4143.3286147859944</v>
          </cell>
          <cell r="O122">
            <v>4242.4506640378067</v>
          </cell>
          <cell r="P122">
            <v>31749.768188899463</v>
          </cell>
          <cell r="Q122">
            <v>33996.096905392551</v>
          </cell>
          <cell r="R122">
            <v>33628.747608377394</v>
          </cell>
          <cell r="S122">
            <v>35797.083632954011</v>
          </cell>
          <cell r="T122">
            <v>35413.818755614047</v>
          </cell>
          <cell r="U122">
            <v>37575.975995224806</v>
          </cell>
          <cell r="V122">
            <v>37174.720808472368</v>
          </cell>
          <cell r="W122">
            <v>39331.17186791273</v>
          </cell>
          <cell r="X122">
            <v>38911.088661148555</v>
          </cell>
          <cell r="Y122">
            <v>39358.619258380808</v>
          </cell>
          <cell r="Z122">
            <v>38945.104832815152</v>
          </cell>
          <cell r="AA122">
            <v>39378.713678270928</v>
          </cell>
          <cell r="AB122">
            <v>38970.95873782898</v>
          </cell>
          <cell r="AC122">
            <v>39391.667640788728</v>
          </cell>
          <cell r="AD122">
            <v>39001.649592245987</v>
          </cell>
          <cell r="AE122">
            <v>39421.835386495572</v>
          </cell>
          <cell r="AF122">
            <v>39036.352893315889</v>
          </cell>
          <cell r="AG122">
            <v>39444.101197780663</v>
          </cell>
          <cell r="AH122">
            <v>39062.858809762198</v>
          </cell>
          <cell r="AI122">
            <v>39458.561055615348</v>
          </cell>
          <cell r="AJ122">
            <v>39081.332992768854</v>
          </cell>
          <cell r="AK122">
            <v>39465.328551151651</v>
          </cell>
          <cell r="AL122">
            <v>39091.938356357809</v>
          </cell>
          <cell r="AM122">
            <v>39464.527949633724</v>
          </cell>
          <cell r="AN122">
            <v>39094.835115019094</v>
          </cell>
          <cell r="AO122">
            <v>39456.28995630076</v>
          </cell>
          <cell r="AP122">
            <v>39090.180820808964</v>
          </cell>
          <cell r="AQ122">
            <v>39441.043072108849</v>
          </cell>
          <cell r="AR122">
            <v>39078.42032258473</v>
          </cell>
          <cell r="AS122">
            <v>39418.422693779517</v>
          </cell>
          <cell r="AT122">
            <v>39059.211944840747</v>
          </cell>
          <cell r="AU122">
            <v>39359.001453248638</v>
          </cell>
          <cell r="AV122">
            <v>39003.549566568392</v>
          </cell>
          <cell r="AW122">
            <v>39452.439418995556</v>
          </cell>
          <cell r="AX122">
            <v>39098.491030697172</v>
          </cell>
          <cell r="AY122">
            <v>39539.542063641304</v>
          </cell>
          <cell r="AZ122">
            <v>39187.065826918719</v>
          </cell>
          <cell r="BA122">
            <v>39620.427414193196</v>
          </cell>
          <cell r="BB122">
            <v>39269.397959753798</v>
          </cell>
          <cell r="BC122">
            <v>39695.212673090624</v>
          </cell>
          <cell r="BD122">
            <v>39345.609523366402</v>
          </cell>
          <cell r="BE122">
            <v>39781.056088979938</v>
          </cell>
          <cell r="BF122">
            <v>39423.987816881789</v>
          </cell>
          <cell r="BG122">
            <v>39869.410708673036</v>
          </cell>
          <cell r="BH122">
            <v>39504.703708225134</v>
          </cell>
          <cell r="BI122">
            <v>39960.456547383612</v>
          </cell>
          <cell r="BJ122">
            <v>39587.930940838436</v>
          </cell>
          <cell r="BK122">
            <v>40054.376800950675</v>
          </cell>
          <cell r="BL122">
            <v>39673.846261499872</v>
          </cell>
          <cell r="BM122">
            <v>40151.357983243513</v>
          </cell>
          <cell r="BN122">
            <v>39762.629551762904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412.78845776137126</v>
          </cell>
          <cell r="Q134">
            <v>418.98028462779178</v>
          </cell>
          <cell r="R134">
            <v>425.26498889720858</v>
          </cell>
          <cell r="S134">
            <v>431.64396373066677</v>
          </cell>
          <cell r="T134">
            <v>438.11862318662668</v>
          </cell>
          <cell r="U134">
            <v>444.69040253442591</v>
          </cell>
          <cell r="V134">
            <v>451.36075857244225</v>
          </cell>
          <cell r="W134">
            <v>458.13116995102888</v>
          </cell>
          <cell r="X134">
            <v>465.0031375002942</v>
          </cell>
          <cell r="Y134">
            <v>471.97818456279867</v>
          </cell>
          <cell r="Z134">
            <v>479.0578573312406</v>
          </cell>
          <cell r="AA134">
            <v>486.24372519120908</v>
          </cell>
          <cell r="AB134">
            <v>493.53738106907724</v>
          </cell>
          <cell r="AC134">
            <v>500.94044178511342</v>
          </cell>
          <cell r="AD134">
            <v>508.45454841189002</v>
          </cell>
          <cell r="AE134">
            <v>516.08136663806829</v>
          </cell>
          <cell r="AF134">
            <v>523.82258713763918</v>
          </cell>
          <cell r="AG134">
            <v>531.67992594470365</v>
          </cell>
          <cell r="AH134">
            <v>539.6551248338742</v>
          </cell>
          <cell r="AI134">
            <v>547.74995170638238</v>
          </cell>
          <cell r="AJ134">
            <v>555.96620098197809</v>
          </cell>
          <cell r="AK134">
            <v>564.30569399670776</v>
          </cell>
          <cell r="AL134">
            <v>572.77027940665812</v>
          </cell>
          <cell r="AM134">
            <v>581.36183359775805</v>
          </cell>
          <cell r="AN134">
            <v>590.08226110172427</v>
          </cell>
          <cell r="AO134">
            <v>598.93349501825014</v>
          </cell>
          <cell r="AP134">
            <v>607.91749744352387</v>
          </cell>
          <cell r="AQ134">
            <v>617.03625990517662</v>
          </cell>
          <cell r="AR134">
            <v>626.29180380375408</v>
          </cell>
          <cell r="AS134">
            <v>635.68618086081051</v>
          </cell>
          <cell r="AT134">
            <v>645.22147357372251</v>
          </cell>
          <cell r="AU134">
            <v>654.89979567732826</v>
          </cell>
          <cell r="AV134">
            <v>664.72329261248808</v>
          </cell>
          <cell r="AW134">
            <v>674.69414200167535</v>
          </cell>
          <cell r="AX134">
            <v>684.81455413170033</v>
          </cell>
          <cell r="AY134">
            <v>695.08677244367584</v>
          </cell>
          <cell r="AZ134">
            <v>705.51307403033093</v>
          </cell>
          <cell r="BA134">
            <v>716.09577014078582</v>
          </cell>
          <cell r="BB134">
            <v>726.83720669289744</v>
          </cell>
          <cell r="BC134">
            <v>737.73976479329076</v>
          </cell>
          <cell r="BD134">
            <v>748.80586126518995</v>
          </cell>
          <cell r="BE134">
            <v>760.0379491841677</v>
          </cell>
          <cell r="BF134">
            <v>771.43851842193021</v>
          </cell>
          <cell r="BG134">
            <v>783.01009619825902</v>
          </cell>
          <cell r="BH134">
            <v>794.75524764123293</v>
          </cell>
          <cell r="BI134">
            <v>806.67657635585135</v>
          </cell>
          <cell r="BJ134">
            <v>818.77672500118899</v>
          </cell>
          <cell r="BK134">
            <v>831.0583758762067</v>
          </cell>
          <cell r="BL134">
            <v>843.52425151434977</v>
          </cell>
          <cell r="BM134">
            <v>856.17711528706513</v>
          </cell>
          <cell r="BN134">
            <v>869.01977201637112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4645.1739819918184</v>
          </cell>
          <cell r="Q144">
            <v>4714.8515917216955</v>
          </cell>
          <cell r="R144">
            <v>4785.5743655975202</v>
          </cell>
          <cell r="S144">
            <v>4857.3579810814836</v>
          </cell>
          <cell r="T144">
            <v>4930.2183507977052</v>
          </cell>
          <cell r="U144">
            <v>5004.1716260596695</v>
          </cell>
          <cell r="V144">
            <v>5079.2342004505635</v>
          </cell>
          <cell r="W144">
            <v>5155.422713457323</v>
          </cell>
          <cell r="X144">
            <v>5232.7540541591807</v>
          </cell>
          <cell r="Y144">
            <v>5311.2453649715681</v>
          </cell>
          <cell r="Z144">
            <v>5390.9140454461403</v>
          </cell>
          <cell r="AA144">
            <v>5471.7777561278326</v>
          </cell>
          <cell r="AB144">
            <v>5553.8544224697507</v>
          </cell>
          <cell r="AC144">
            <v>5637.1622388067972</v>
          </cell>
          <cell r="AD144">
            <v>5721.7196723888974</v>
          </cell>
          <cell r="AE144">
            <v>5807.5454674747289</v>
          </cell>
          <cell r="AF144">
            <v>5894.6586494868479</v>
          </cell>
          <cell r="AG144">
            <v>5983.0785292291512</v>
          </cell>
          <cell r="AH144">
            <v>6072.8247071675869</v>
          </cell>
          <cell r="AI144">
            <v>6163.9170777751033</v>
          </cell>
          <cell r="AJ144">
            <v>6256.3758339417291</v>
          </cell>
          <cell r="AK144">
            <v>6350.2214714508527</v>
          </cell>
          <cell r="AL144">
            <v>6445.4747935226142</v>
          </cell>
          <cell r="AM144">
            <v>6542.1569154254557</v>
          </cell>
          <cell r="AN144">
            <v>6640.289269156835</v>
          </cell>
          <cell r="AO144">
            <v>6739.8936081941874</v>
          </cell>
          <cell r="AP144">
            <v>6840.9920123170987</v>
          </cell>
          <cell r="AQ144">
            <v>6943.6068925018535</v>
          </cell>
          <cell r="AR144">
            <v>7047.7609958893818</v>
          </cell>
          <cell r="AS144">
            <v>7153.4774108277225</v>
          </cell>
          <cell r="AT144">
            <v>7260.7795719901369</v>
          </cell>
          <cell r="AU144">
            <v>7369.6912655699889</v>
          </cell>
          <cell r="AV144">
            <v>7480.2366345535374</v>
          </cell>
          <cell r="AW144">
            <v>7592.4401840718383</v>
          </cell>
          <cell r="AX144">
            <v>7706.3267868329158</v>
          </cell>
          <cell r="AY144">
            <v>7821.9216886354079</v>
          </cell>
          <cell r="AZ144">
            <v>7939.2505139649384</v>
          </cell>
          <cell r="BA144">
            <v>8058.3392716744111</v>
          </cell>
          <cell r="BB144">
            <v>8179.2143607495273</v>
          </cell>
          <cell r="BC144">
            <v>8301.9025761607681</v>
          </cell>
          <cell r="BD144">
            <v>8426.4311148031775</v>
          </cell>
          <cell r="BE144">
            <v>8552.8275815252236</v>
          </cell>
          <cell r="BF144">
            <v>8681.1199952481038</v>
          </cell>
          <cell r="BG144">
            <v>8811.3367951768232</v>
          </cell>
          <cell r="BH144">
            <v>8943.506847104476</v>
          </cell>
          <cell r="BI144">
            <v>9077.6594498110408</v>
          </cell>
          <cell r="BJ144">
            <v>9213.8243415582074</v>
          </cell>
          <cell r="BK144">
            <v>9352.0317066815787</v>
          </cell>
          <cell r="BL144">
            <v>9492.3121822817993</v>
          </cell>
          <cell r="BM144">
            <v>9634.696865016027</v>
          </cell>
          <cell r="BN144">
            <v>9779.2173179912697</v>
          </cell>
        </row>
      </sheetData>
      <sheetData sheetId="7"/>
      <sheetData sheetId="8">
        <row r="57">
          <cell r="G57">
            <v>-323.23903353022382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-2828.156127496507</v>
          </cell>
          <cell r="Y57">
            <v>-4551.5244612540719</v>
          </cell>
          <cell r="Z57">
            <v>-4549.7245422612041</v>
          </cell>
          <cell r="AA57">
            <v>-4825.4461805261699</v>
          </cell>
          <cell r="AB57">
            <v>-4950.1732465055102</v>
          </cell>
          <cell r="AC57">
            <v>-5240.0004011391575</v>
          </cell>
          <cell r="AD57">
            <v>-5367.0925574473367</v>
          </cell>
          <cell r="AE57">
            <v>-5655.6387930000647</v>
          </cell>
          <cell r="AF57">
            <v>-5782.4674481975526</v>
          </cell>
          <cell r="AG57">
            <v>-5888.0257122547355</v>
          </cell>
          <cell r="AH57">
            <v>-5835.2069949294819</v>
          </cell>
          <cell r="AI57">
            <v>-5814.7070391302914</v>
          </cell>
          <cell r="AJ57">
            <v>-5619.785440304634</v>
          </cell>
          <cell r="AK57">
            <v>-5702.6134438119143</v>
          </cell>
          <cell r="AL57">
            <v>-5656.837583844067</v>
          </cell>
          <cell r="AM57">
            <v>-5678.2189132882595</v>
          </cell>
          <cell r="AN57">
            <v>-5537.7107997039147</v>
          </cell>
          <cell r="AO57">
            <v>-5564.143010391841</v>
          </cell>
          <cell r="AP57">
            <v>-5447.7002093568044</v>
          </cell>
          <cell r="AQ57">
            <v>-5538.2517123827765</v>
          </cell>
          <cell r="AR57">
            <v>-5491.5725064409471</v>
          </cell>
          <cell r="AS57">
            <v>-4163.1310381535277</v>
          </cell>
          <cell r="AT57">
            <v>-2470.6167591778099</v>
          </cell>
          <cell r="AU57">
            <v>-2372.3867484833931</v>
          </cell>
          <cell r="AV57">
            <v>-2387.2775717788077</v>
          </cell>
          <cell r="AW57">
            <v>-2561.5728368166701</v>
          </cell>
          <cell r="AX57">
            <v>-2573.8517793707088</v>
          </cell>
          <cell r="AY57">
            <v>-2743.6967722121053</v>
          </cell>
          <cell r="AZ57">
            <v>-2753.4169306340355</v>
          </cell>
          <cell r="BA57">
            <v>-2918.8993442966553</v>
          </cell>
          <cell r="BB57">
            <v>-2926.1119326885214</v>
          </cell>
          <cell r="BC57">
            <v>-2922.333886916309</v>
          </cell>
          <cell r="BD57">
            <v>-2736.1648470621476</v>
          </cell>
          <cell r="BE57">
            <v>-2875.4607169925425</v>
          </cell>
          <cell r="BF57">
            <v>-2883.7892341053721</v>
          </cell>
          <cell r="BG57">
            <v>-3051.1972439381993</v>
          </cell>
          <cell r="BH57">
            <v>-3055.1735426099494</v>
          </cell>
          <cell r="BI57">
            <v>-3221.8487074704344</v>
          </cell>
          <cell r="BJ57">
            <v>-3221.4873399535463</v>
          </cell>
          <cell r="BK57">
            <v>-2290.3854715137409</v>
          </cell>
          <cell r="BL57">
            <v>-1016.0096624460607</v>
          </cell>
          <cell r="BM57">
            <v>-8.0688507776467766</v>
          </cell>
          <cell r="BN57">
            <v>0</v>
          </cell>
        </row>
        <row r="73">
          <cell r="G73">
            <v>-4737.2756981107113</v>
          </cell>
          <cell r="H73">
            <v>-7810.2030857963528</v>
          </cell>
          <cell r="I73">
            <v>-7772.1051883257242</v>
          </cell>
          <cell r="J73">
            <v>-7607.7906633111124</v>
          </cell>
          <cell r="K73">
            <v>-15903.675546323026</v>
          </cell>
          <cell r="L73">
            <v>-15600.617565658074</v>
          </cell>
          <cell r="M73">
            <v>-8520.7570867684408</v>
          </cell>
          <cell r="N73">
            <v>-8356.888015935152</v>
          </cell>
          <cell r="O73">
            <v>-4212.1857029156408</v>
          </cell>
          <cell r="P73">
            <v>1848.9757934459956</v>
          </cell>
          <cell r="Q73">
            <v>2089.1202935868369</v>
          </cell>
          <cell r="R73">
            <v>2015.1822079191149</v>
          </cell>
          <cell r="S73">
            <v>2245.0785182920158</v>
          </cell>
          <cell r="T73">
            <v>2168.3281602462839</v>
          </cell>
          <cell r="U73">
            <v>2396.5670776431634</v>
          </cell>
          <cell r="V73">
            <v>2316.7282046061146</v>
          </cell>
          <cell r="W73">
            <v>2543.3387573527989</v>
          </cell>
          <cell r="X73">
            <v>-367.87338295735617</v>
          </cell>
          <cell r="Y73">
            <v>-9670.1840329878723</v>
          </cell>
          <cell r="Z73">
            <v>-9865.6312533039745</v>
          </cell>
          <cell r="AA73">
            <v>-2409.9541520639123</v>
          </cell>
          <cell r="AB73">
            <v>-2618.2611150902399</v>
          </cell>
          <cell r="AC73">
            <v>-2892.772245125579</v>
          </cell>
          <cell r="AD73">
            <v>-3102.3631466721031</v>
          </cell>
          <cell r="AE73">
            <v>-3376.7191150192957</v>
          </cell>
          <cell r="AF73">
            <v>-3586.5811779243245</v>
          </cell>
          <cell r="AG73">
            <v>-3680.5367865996045</v>
          </cell>
          <cell r="AH73">
            <v>-3711.3542041077453</v>
          </cell>
          <cell r="AI73">
            <v>-12501.367250775907</v>
          </cell>
          <cell r="AJ73">
            <v>-12523.038332566621</v>
          </cell>
          <cell r="AK73">
            <v>-3647.5694893936156</v>
          </cell>
          <cell r="AL73">
            <v>-3686.8123848768259</v>
          </cell>
          <cell r="AM73">
            <v>-9565.3257793350276</v>
          </cell>
          <cell r="AN73">
            <v>-9598.523559204481</v>
          </cell>
          <cell r="AO73">
            <v>-8170.6162144341197</v>
          </cell>
          <cell r="AP73">
            <v>-8208.2249296400714</v>
          </cell>
          <cell r="AQ73">
            <v>-3736.6242942897698</v>
          </cell>
          <cell r="AR73">
            <v>-3777.4292845492346</v>
          </cell>
          <cell r="AS73">
            <v>-104807.17906091684</v>
          </cell>
          <cell r="AT73">
            <v>-104738.38395300401</v>
          </cell>
          <cell r="AU73">
            <v>-760.47916256705139</v>
          </cell>
          <cell r="AV73">
            <v>-864.6918010911977</v>
          </cell>
          <cell r="AW73">
            <v>-1032.4878864973084</v>
          </cell>
          <cell r="AX73">
            <v>-1135.3187523465544</v>
          </cell>
          <cell r="AY73">
            <v>-1301.0369096845479</v>
          </cell>
          <cell r="AZ73">
            <v>-1402.5854942898281</v>
          </cell>
          <cell r="BA73">
            <v>-1566.338764422801</v>
          </cell>
          <cell r="BB73">
            <v>-1666.7032479948343</v>
          </cell>
          <cell r="BC73">
            <v>-13542.265410381347</v>
          </cell>
          <cell r="BD73">
            <v>-13628.799104157624</v>
          </cell>
          <cell r="BE73">
            <v>-1712.3767889376059</v>
          </cell>
          <cell r="BF73">
            <v>-1817.7131407415532</v>
          </cell>
          <cell r="BG73">
            <v>-1986.6424402293605</v>
          </cell>
          <cell r="BH73">
            <v>-2090.180196174837</v>
          </cell>
          <cell r="BI73">
            <v>-2258.7985868145829</v>
          </cell>
          <cell r="BJ73">
            <v>-2360.6233620585685</v>
          </cell>
          <cell r="BK73">
            <v>-80427.833844562803</v>
          </cell>
          <cell r="BL73">
            <v>-80443.281304066637</v>
          </cell>
          <cell r="BM73">
            <v>-73639.812379108262</v>
          </cell>
          <cell r="BN73">
            <v>-74855.139537403069</v>
          </cell>
        </row>
        <row r="108">
          <cell r="G108">
            <v>4414.0366645804879</v>
          </cell>
          <cell r="H108">
            <v>12224.239750376841</v>
          </cell>
          <cell r="I108">
            <v>19996.344938702565</v>
          </cell>
          <cell r="J108">
            <v>27604.135602013677</v>
          </cell>
          <cell r="K108">
            <v>43507.811148336703</v>
          </cell>
          <cell r="L108">
            <v>59108.428713994777</v>
          </cell>
          <cell r="M108">
            <v>67629.185800763225</v>
          </cell>
          <cell r="N108">
            <v>75986.073816698379</v>
          </cell>
          <cell r="O108">
            <v>80198.259519614017</v>
          </cell>
          <cell r="P108">
            <v>78349.283726168025</v>
          </cell>
          <cell r="Q108">
            <v>76260.16343258119</v>
          </cell>
          <cell r="R108">
            <v>74244.981224662071</v>
          </cell>
          <cell r="S108">
            <v>71999.902706370049</v>
          </cell>
          <cell r="T108">
            <v>69831.574546123768</v>
          </cell>
          <cell r="U108">
            <v>67435.007468480602</v>
          </cell>
          <cell r="V108">
            <v>65118.279263874487</v>
          </cell>
          <cell r="W108">
            <v>62574.940506521685</v>
          </cell>
          <cell r="X108">
            <v>60114.657761982533</v>
          </cell>
          <cell r="Y108">
            <v>65233.317333716332</v>
          </cell>
          <cell r="Z108">
            <v>70549.224044759103</v>
          </cell>
          <cell r="AA108">
            <v>68133.732016296839</v>
          </cell>
          <cell r="AB108">
            <v>65801.819884881566</v>
          </cell>
          <cell r="AC108">
            <v>63454.591728867985</v>
          </cell>
          <cell r="AD108">
            <v>61189.862318092753</v>
          </cell>
          <cell r="AE108">
            <v>58910.942640111985</v>
          </cell>
          <cell r="AF108">
            <v>56715.056369838756</v>
          </cell>
          <cell r="AG108">
            <v>54507.567444183624</v>
          </cell>
          <cell r="AH108">
            <v>52383.714653361887</v>
          </cell>
          <cell r="AI108">
            <v>59070.374865007499</v>
          </cell>
          <cell r="AJ108">
            <v>65973.627757269482</v>
          </cell>
          <cell r="AK108">
            <v>63918.583802851186</v>
          </cell>
          <cell r="AL108">
            <v>61948.558603883946</v>
          </cell>
          <cell r="AM108">
            <v>65835.665469930711</v>
          </cell>
          <cell r="AN108">
            <v>69896.478229431275</v>
          </cell>
          <cell r="AO108">
            <v>72502.951433473558</v>
          </cell>
          <cell r="AP108">
            <v>75263.476153756827</v>
          </cell>
          <cell r="AQ108">
            <v>73461.848735663822</v>
          </cell>
          <cell r="AR108">
            <v>71747.705513772104</v>
          </cell>
          <cell r="AS108">
            <v>172391.75353653543</v>
          </cell>
          <cell r="AT108">
            <v>274659.52073036163</v>
          </cell>
          <cell r="AU108">
            <v>273047.61314444529</v>
          </cell>
          <cell r="AV108">
            <v>271525.02737375768</v>
          </cell>
          <cell r="AW108">
            <v>269995.9424234383</v>
          </cell>
          <cell r="AX108">
            <v>268557.40939641412</v>
          </cell>
          <cell r="AY108">
            <v>267114.74953388656</v>
          </cell>
          <cell r="AZ108">
            <v>265763.91809754237</v>
          </cell>
          <cell r="BA108">
            <v>264411.35751766851</v>
          </cell>
          <cell r="BB108">
            <v>263151.94883297483</v>
          </cell>
          <cell r="BC108">
            <v>273771.88035643985</v>
          </cell>
          <cell r="BD108">
            <v>284664.51461353531</v>
          </cell>
          <cell r="BE108">
            <v>283501.43068548036</v>
          </cell>
          <cell r="BF108">
            <v>282435.35459211655</v>
          </cell>
          <cell r="BG108">
            <v>281370.79978840769</v>
          </cell>
          <cell r="BH108">
            <v>280405.80644197256</v>
          </cell>
          <cell r="BI108">
            <v>279442.7563213167</v>
          </cell>
          <cell r="BJ108">
            <v>278581.8923434217</v>
          </cell>
          <cell r="BK108">
            <v>356719.34071647073</v>
          </cell>
          <cell r="BL108">
            <v>436146.61235809128</v>
          </cell>
          <cell r="BM108">
            <v>509778.35588642186</v>
          </cell>
          <cell r="BN108">
            <v>584633.49542382499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</row>
      </sheetData>
      <sheetData sheetId="9">
        <row r="30">
          <cell r="G30">
            <v>1616.1951676511189</v>
          </cell>
          <cell r="H30">
            <v>-4439.6141396027533</v>
          </cell>
          <cell r="I30">
            <v>-3157.8427381044376</v>
          </cell>
          <cell r="J30">
            <v>-5459.0494284606593</v>
          </cell>
          <cell r="K30">
            <v>-10693.096805494402</v>
          </cell>
          <cell r="L30">
            <v>-15788.308826606682</v>
          </cell>
          <cell r="M30">
            <v>-18335.017084543175</v>
          </cell>
          <cell r="N30">
            <v>-20810.504791425556</v>
          </cell>
          <cell r="O30">
            <v>-39956.993744745079</v>
          </cell>
          <cell r="P30">
            <v>6415.5790634725836</v>
          </cell>
          <cell r="Q30">
            <v>9702.0913152541652</v>
          </cell>
          <cell r="R30">
            <v>10372.08750043078</v>
          </cell>
          <cell r="S30">
            <v>13574.949365792128</v>
          </cell>
          <cell r="T30">
            <v>14223.408359320125</v>
          </cell>
          <cell r="U30">
            <v>17414.504437009491</v>
          </cell>
          <cell r="V30">
            <v>18039.419263952688</v>
          </cell>
          <cell r="W30">
            <v>21219.286997839925</v>
          </cell>
          <cell r="X30">
            <v>21819.881893393405</v>
          </cell>
          <cell r="Y30">
            <v>22757.622306270358</v>
          </cell>
          <cell r="Z30">
            <v>22748.622711306019</v>
          </cell>
          <cell r="AA30">
            <v>24127.230902630847</v>
          </cell>
          <cell r="AB30">
            <v>24750.866232527547</v>
          </cell>
          <cell r="AC30">
            <v>26200.002005695787</v>
          </cell>
          <cell r="AD30">
            <v>26835.462787236684</v>
          </cell>
          <cell r="AE30">
            <v>28278.193965000322</v>
          </cell>
          <cell r="AF30">
            <v>28912.337240987759</v>
          </cell>
          <cell r="AG30">
            <v>29440.128561273676</v>
          </cell>
          <cell r="AH30">
            <v>29176.034974647409</v>
          </cell>
          <cell r="AI30">
            <v>29073.535195651457</v>
          </cell>
          <cell r="AJ30">
            <v>28098.927201523169</v>
          </cell>
          <cell r="AK30">
            <v>28513.067219059569</v>
          </cell>
          <cell r="AL30">
            <v>28284.187919220334</v>
          </cell>
          <cell r="AM30">
            <v>28391.094566441298</v>
          </cell>
          <cell r="AN30">
            <v>27688.553998519572</v>
          </cell>
          <cell r="AO30">
            <v>27820.715051959203</v>
          </cell>
          <cell r="AP30">
            <v>27238.501046784022</v>
          </cell>
          <cell r="AQ30">
            <v>27691.258561913881</v>
          </cell>
          <cell r="AR30">
            <v>27457.862532204734</v>
          </cell>
          <cell r="AS30">
            <v>20815.655190767637</v>
          </cell>
          <cell r="AT30">
            <v>12353.083795889048</v>
          </cell>
          <cell r="AU30">
            <v>11861.933742416966</v>
          </cell>
          <cell r="AV30">
            <v>11936.387858894037</v>
          </cell>
          <cell r="AW30">
            <v>12807.86418408335</v>
          </cell>
          <cell r="AX30">
            <v>12869.258896853542</v>
          </cell>
          <cell r="AY30">
            <v>13718.483861060526</v>
          </cell>
          <cell r="AZ30">
            <v>13767.084653170175</v>
          </cell>
          <cell r="BA30">
            <v>14594.496721483276</v>
          </cell>
          <cell r="BB30">
            <v>14630.559663442606</v>
          </cell>
          <cell r="BC30">
            <v>14611.669434581543</v>
          </cell>
          <cell r="BD30">
            <v>13680.824235310736</v>
          </cell>
          <cell r="BE30">
            <v>14377.303584962712</v>
          </cell>
          <cell r="BF30">
            <v>14418.946170526859</v>
          </cell>
          <cell r="BG30">
            <v>15255.986219690996</v>
          </cell>
          <cell r="BH30">
            <v>15275.867713049747</v>
          </cell>
          <cell r="BI30">
            <v>16109.243537352171</v>
          </cell>
          <cell r="BJ30">
            <v>16107.436699767732</v>
          </cell>
          <cell r="BK30">
            <v>11451.927357568704</v>
          </cell>
          <cell r="BL30">
            <v>5080.0483122303031</v>
          </cell>
          <cell r="BM30">
            <v>40.344253888233879</v>
          </cell>
          <cell r="BN30">
            <v>-5802.7265488207613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-504.63705132328482</v>
          </cell>
          <cell r="AE36">
            <v>-33920.507738605455</v>
          </cell>
          <cell r="AF36">
            <v>-21810.817021665764</v>
          </cell>
          <cell r="AG36">
            <v>-22086.994134500786</v>
          </cell>
          <cell r="AH36">
            <v>-21635.359061747855</v>
          </cell>
          <cell r="AI36">
            <v>0</v>
          </cell>
          <cell r="AJ36">
            <v>0</v>
          </cell>
          <cell r="AK36">
            <v>-20523.254896451606</v>
          </cell>
          <cell r="AL36">
            <v>-20081.681379965405</v>
          </cell>
          <cell r="AM36">
            <v>0</v>
          </cell>
          <cell r="AN36">
            <v>0</v>
          </cell>
          <cell r="AO36">
            <v>-306.86283059583275</v>
          </cell>
          <cell r="AP36">
            <v>0</v>
          </cell>
          <cell r="AQ36">
            <v>-21274.760098147301</v>
          </cell>
          <cell r="AR36">
            <v>-20809.724065080685</v>
          </cell>
          <cell r="AS36">
            <v>0</v>
          </cell>
          <cell r="AT36">
            <v>0</v>
          </cell>
          <cell r="AU36">
            <v>-16180.296101271811</v>
          </cell>
          <cell r="AV36">
            <v>-15731.362300951914</v>
          </cell>
          <cell r="AW36">
            <v>-16020.736732740272</v>
          </cell>
          <cell r="AX36">
            <v>-15569.751332341013</v>
          </cell>
          <cell r="AY36">
            <v>-15848.353948511274</v>
          </cell>
          <cell r="AZ36">
            <v>-15395.036892865555</v>
          </cell>
          <cell r="BA36">
            <v>-15662.752571183966</v>
          </cell>
          <cell r="BB36">
            <v>-15206.826583776648</v>
          </cell>
          <cell r="BC36">
            <v>0</v>
          </cell>
          <cell r="BD36">
            <v>0</v>
          </cell>
          <cell r="BE36">
            <v>-14593.027375191356</v>
          </cell>
          <cell r="BF36">
            <v>-14126.91839892694</v>
          </cell>
          <cell r="BG36">
            <v>-14396.864244078301</v>
          </cell>
          <cell r="BH36">
            <v>-13919.185694821226</v>
          </cell>
          <cell r="BI36">
            <v>-14193.957014078991</v>
          </cell>
          <cell r="BJ36">
            <v>-13704.270226585606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763.59024361509341</v>
          </cell>
          <cell r="Q155">
            <v>775.04409726931976</v>
          </cell>
          <cell r="R155">
            <v>786.6697587283594</v>
          </cell>
          <cell r="S155">
            <v>798.46980510928495</v>
          </cell>
          <cell r="T155">
            <v>810.44685218592406</v>
          </cell>
          <cell r="U155">
            <v>822.60355496871273</v>
          </cell>
          <cell r="V155">
            <v>834.94260829324332</v>
          </cell>
          <cell r="W155">
            <v>847.46674741764207</v>
          </cell>
          <cell r="X155">
            <v>860.17874862890642</v>
          </cell>
          <cell r="Y155">
            <v>873.0814298583399</v>
          </cell>
          <cell r="Z155">
            <v>886.17765130621478</v>
          </cell>
          <cell r="AA155">
            <v>899.470316075808</v>
          </cell>
          <cell r="AB155">
            <v>912.96237081694528</v>
          </cell>
          <cell r="AC155">
            <v>926.65680637919945</v>
          </cell>
          <cell r="AD155">
            <v>940.55665847488717</v>
          </cell>
          <cell r="AE155">
            <v>954.6650083520102</v>
          </cell>
          <cell r="AF155">
            <v>968.98498347729003</v>
          </cell>
          <cell r="AG155">
            <v>983.51975822944951</v>
          </cell>
          <cell r="AH155">
            <v>998.27255460289098</v>
          </cell>
          <cell r="AI155">
            <v>1013.2466429219347</v>
          </cell>
          <cell r="AJ155">
            <v>1028.4453425657637</v>
          </cell>
          <cell r="AK155">
            <v>1043.8720227042497</v>
          </cell>
          <cell r="AL155">
            <v>1059.5301030448131</v>
          </cell>
          <cell r="AM155">
            <v>1075.4230545904859</v>
          </cell>
          <cell r="AN155">
            <v>1091.5544004093426</v>
          </cell>
          <cell r="AO155">
            <v>1107.9277164154828</v>
          </cell>
          <cell r="AP155">
            <v>1124.5466321617148</v>
          </cell>
          <cell r="AQ155">
            <v>1141.4148316441403</v>
          </cell>
          <cell r="AR155">
            <v>1158.5360541188024</v>
          </cell>
          <cell r="AS155">
            <v>1175.9140949305845</v>
          </cell>
          <cell r="AT155">
            <v>1193.552806354543</v>
          </cell>
          <cell r="AU155">
            <v>1211.4560984498612</v>
          </cell>
          <cell r="AV155">
            <v>1229.6279399266089</v>
          </cell>
          <cell r="AW155">
            <v>1248.0723590255077</v>
          </cell>
          <cell r="AX155">
            <v>1266.7934444108903</v>
          </cell>
          <cell r="AY155">
            <v>1285.7953460770532</v>
          </cell>
          <cell r="AZ155">
            <v>1305.0822762682089</v>
          </cell>
          <cell r="BA155">
            <v>1324.6585104122319</v>
          </cell>
          <cell r="BB155">
            <v>1344.5283880684153</v>
          </cell>
          <cell r="BC155">
            <v>1364.6963138894412</v>
          </cell>
          <cell r="BD155">
            <v>1385.1667585977825</v>
          </cell>
          <cell r="BE155">
            <v>1405.944259976749</v>
          </cell>
          <cell r="BF155">
            <v>1427.0334238764005</v>
          </cell>
          <cell r="BG155">
            <v>1448.4389252345461</v>
          </cell>
          <cell r="BH155">
            <v>1470.1655091130644</v>
          </cell>
          <cell r="BI155">
            <v>1492.2179917497601</v>
          </cell>
          <cell r="BJ155">
            <v>1514.6012616260066</v>
          </cell>
          <cell r="BK155">
            <v>1537.3202805503963</v>
          </cell>
          <cell r="BL155">
            <v>1560.3800847586519</v>
          </cell>
          <cell r="BM155">
            <v>1583.7857860300317</v>
          </cell>
          <cell r="BN155">
            <v>0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стр 40-41"/>
      <sheetName val="стр 42-43"/>
      <sheetName val="Предположения"/>
      <sheetName val="Список МТ"/>
      <sheetName val="Калькулятор"/>
      <sheetName val="ФОТ"/>
      <sheetName val="ОПУ и ДП"/>
      <sheetName val="Анализ и БЭ"/>
      <sheetName val="Итоги"/>
      <sheetName val="Оценка рисков"/>
      <sheetName val="Баланс рисков"/>
      <sheetName val="Проверки"/>
      <sheetName val="stat1"/>
      <sheetName val="stat2"/>
      <sheetName val="stat3"/>
      <sheetName val="Риски для КП"/>
      <sheetName val="Сравнение"/>
      <sheetName val="Коммерческие предложения"/>
    </sheetNames>
    <sheetDataSet>
      <sheetData sheetId="0" refreshError="1"/>
      <sheetData sheetId="1" refreshError="1"/>
      <sheetData sheetId="2" refreshError="1">
        <row r="6">
          <cell r="C6">
            <v>0.1</v>
          </cell>
        </row>
        <row r="7">
          <cell r="C7">
            <v>0.2</v>
          </cell>
        </row>
        <row r="8">
          <cell r="C8">
            <v>0.1</v>
          </cell>
        </row>
        <row r="9">
          <cell r="C9">
            <v>9.5000000000000001E-2</v>
          </cell>
        </row>
        <row r="10">
          <cell r="C10">
            <v>3.5000000000000003E-2</v>
          </cell>
        </row>
        <row r="11">
          <cell r="C11">
            <v>28284</v>
          </cell>
        </row>
        <row r="22">
          <cell r="C22">
            <v>8.8249999999999995E-2</v>
          </cell>
        </row>
        <row r="23">
          <cell r="C23">
            <v>9.5000000000000001E-2</v>
          </cell>
        </row>
        <row r="31">
          <cell r="C31">
            <v>8.8249999999999995E-2</v>
          </cell>
        </row>
        <row r="34">
          <cell r="C34">
            <v>8.8249999999999995E-2</v>
          </cell>
        </row>
      </sheetData>
      <sheetData sheetId="3" refreshError="1"/>
      <sheetData sheetId="4" refreshError="1">
        <row r="16">
          <cell r="E16">
            <v>0</v>
          </cell>
        </row>
        <row r="17">
          <cell r="E17">
            <v>54165.15</v>
          </cell>
        </row>
        <row r="19">
          <cell r="E19">
            <v>19634.866875</v>
          </cell>
        </row>
        <row r="23">
          <cell r="E23">
            <v>1476000.3374999997</v>
          </cell>
        </row>
        <row r="37">
          <cell r="E37">
            <v>1083570.8027999999</v>
          </cell>
        </row>
      </sheetData>
      <sheetData sheetId="5" refreshError="1"/>
      <sheetData sheetId="6" refreshError="1">
        <row r="16">
          <cell r="I16">
            <v>55.629944292587581</v>
          </cell>
        </row>
        <row r="71">
          <cell r="D71">
            <v>35409.645575600553</v>
          </cell>
        </row>
        <row r="72">
          <cell r="D72">
            <v>9.2869916558265667E-2</v>
          </cell>
        </row>
        <row r="73">
          <cell r="D73">
            <v>1.0326867419139434</v>
          </cell>
        </row>
      </sheetData>
      <sheetData sheetId="7" refreshError="1">
        <row r="11">
          <cell r="D11">
            <v>4</v>
          </cell>
        </row>
        <row r="12">
          <cell r="D12">
            <v>5</v>
          </cell>
        </row>
        <row r="39">
          <cell r="D39">
            <v>-1077616.6125537003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Предположения"/>
      <sheetName val="Дополнительные основные едств"/>
      <sheetName val="Столовая"/>
      <sheetName val="ФОТ"/>
      <sheetName val="Вводные данные"/>
      <sheetName val="Финансирование"/>
      <sheetName val="ДР"/>
      <sheetName val="НДС"/>
      <sheetName val="ОПУ и ДП"/>
      <sheetName val="Анализ и БЭ"/>
      <sheetName val="Итоги"/>
      <sheetName val="Оценка рисков"/>
      <sheetName val="Баланс рисков"/>
      <sheetName val="Проверки"/>
      <sheetName val="ДП (БИП)"/>
      <sheetName val="Для КП и П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5">
          <cell r="D95">
            <v>0.53024104237556458</v>
          </cell>
        </row>
        <row r="96">
          <cell r="D96">
            <v>1.8106376659472836</v>
          </cell>
        </row>
      </sheetData>
      <sheetData sheetId="9">
        <row r="34">
          <cell r="D34">
            <v>2</v>
          </cell>
        </row>
      </sheetData>
      <sheetData sheetId="10"/>
      <sheetData sheetId="11"/>
      <sheetData sheetId="12"/>
      <sheetData sheetId="13"/>
      <sheetData sheetId="14">
        <row r="32">
          <cell r="D32">
            <v>-451200.65892415785</v>
          </cell>
        </row>
      </sheetData>
      <sheetData sheetId="15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isclaimer"/>
      <sheetName val="Names"/>
      <sheetName val="Data"/>
      <sheetName val="Economic"/>
      <sheetName val="Finance - Cons"/>
      <sheetName val="Data - CAPEX"/>
      <sheetName val="CAPEX"/>
      <sheetName val="Depreciation"/>
      <sheetName val="Data - OPEX"/>
      <sheetName val="OPEX"/>
      <sheetName val="Revenue"/>
      <sheetName val="Finance"/>
      <sheetName val="Scenarios"/>
      <sheetName val="Real_State"/>
      <sheetName val="ECF"/>
      <sheetName val="Results"/>
      <sheetName val="CF concession"/>
    </sheetNames>
    <sheetDataSet>
      <sheetData sheetId="0"/>
      <sheetData sheetId="1">
        <row r="179">
          <cell r="C179" t="str">
            <v>Дни</v>
          </cell>
        </row>
        <row r="180">
          <cell r="C180" t="str">
            <v>Часы</v>
          </cell>
        </row>
      </sheetData>
      <sheetData sheetId="2">
        <row r="10">
          <cell r="C10">
            <v>25</v>
          </cell>
        </row>
        <row r="11">
          <cell r="C11">
            <v>3</v>
          </cell>
        </row>
        <row r="12">
          <cell r="C12">
            <v>2010</v>
          </cell>
        </row>
        <row r="13">
          <cell r="C13">
            <v>1</v>
          </cell>
        </row>
        <row r="110">
          <cell r="D110">
            <v>1</v>
          </cell>
        </row>
        <row r="142">
          <cell r="B142" t="str">
            <v>График платежей</v>
          </cell>
        </row>
        <row r="143">
          <cell r="B143" t="str">
            <v>Установленные платежи</v>
          </cell>
          <cell r="C143">
            <v>1</v>
          </cell>
        </row>
        <row r="144">
          <cell r="B144" t="str">
            <v xml:space="preserve">Ипотека </v>
          </cell>
          <cell r="C144">
            <v>2</v>
          </cell>
        </row>
        <row r="145">
          <cell r="B145" t="str">
            <v>Гарантии</v>
          </cell>
          <cell r="C145">
            <v>3</v>
          </cell>
        </row>
        <row r="146">
          <cell r="B146" t="str">
            <v>Снятие всей наличности</v>
          </cell>
          <cell r="C146">
            <v>4</v>
          </cell>
        </row>
        <row r="147">
          <cell r="B147" t="str">
            <v xml:space="preserve">Свободные денежные средства </v>
          </cell>
          <cell r="C147">
            <v>5</v>
          </cell>
        </row>
        <row r="148">
          <cell r="B148" t="str">
            <v>Увеличение платежей по основному долгу</v>
          </cell>
          <cell r="C148">
            <v>6</v>
          </cell>
        </row>
        <row r="168">
          <cell r="B168" t="str">
            <v>Working Days</v>
          </cell>
        </row>
        <row r="169">
          <cell r="B169" t="str">
            <v>Working Days</v>
          </cell>
        </row>
        <row r="170">
          <cell r="B170" t="str">
            <v>Working Days</v>
          </cell>
        </row>
        <row r="171">
          <cell r="B171" t="str">
            <v>Working Days</v>
          </cell>
        </row>
        <row r="172">
          <cell r="B172" t="str">
            <v>Working Days</v>
          </cell>
        </row>
        <row r="173">
          <cell r="B173" t="str">
            <v>Working Days</v>
          </cell>
        </row>
        <row r="174">
          <cell r="B174" t="str">
            <v>Working Days</v>
          </cell>
        </row>
        <row r="175">
          <cell r="B175" t="str">
            <v>Working Days</v>
          </cell>
        </row>
        <row r="176">
          <cell r="B176" t="str">
            <v>Working Days</v>
          </cell>
        </row>
        <row r="177">
          <cell r="B177" t="str">
            <v>Working Days</v>
          </cell>
        </row>
        <row r="178">
          <cell r="B178" t="str">
            <v>Working Days</v>
          </cell>
        </row>
        <row r="179">
          <cell r="B179" t="str">
            <v>Working Days</v>
          </cell>
        </row>
        <row r="180">
          <cell r="B180" t="str">
            <v>Working Days</v>
          </cell>
        </row>
        <row r="181">
          <cell r="B181" t="str">
            <v>Working Days</v>
          </cell>
        </row>
        <row r="182">
          <cell r="B182" t="str">
            <v>Working Days</v>
          </cell>
        </row>
        <row r="183">
          <cell r="B183" t="str">
            <v>Working Days</v>
          </cell>
        </row>
        <row r="184">
          <cell r="B184" t="str">
            <v>Working Days</v>
          </cell>
        </row>
        <row r="185">
          <cell r="B185" t="str">
            <v>Working Days</v>
          </cell>
        </row>
        <row r="186">
          <cell r="B186" t="str">
            <v>Working Days</v>
          </cell>
        </row>
        <row r="231">
          <cell r="B231" t="str">
            <v>OK</v>
          </cell>
          <cell r="C231" t="str">
            <v>ERROR</v>
          </cell>
        </row>
      </sheetData>
      <sheetData sheetId="3">
        <row r="47">
          <cell r="D47" t="str">
            <v>Tenge</v>
          </cell>
          <cell r="F47">
            <v>118.483</v>
          </cell>
          <cell r="G47">
            <v>118.483</v>
          </cell>
          <cell r="H47">
            <v>118.483</v>
          </cell>
          <cell r="I47">
            <v>118.483</v>
          </cell>
          <cell r="J47">
            <v>118.483</v>
          </cell>
          <cell r="K47">
            <v>118.483</v>
          </cell>
          <cell r="L47">
            <v>118.483</v>
          </cell>
          <cell r="M47">
            <v>118.483</v>
          </cell>
          <cell r="N47">
            <v>118.483</v>
          </cell>
          <cell r="O47">
            <v>118.483</v>
          </cell>
          <cell r="P47">
            <v>118.483</v>
          </cell>
          <cell r="Q47">
            <v>118.483</v>
          </cell>
          <cell r="R47">
            <v>118.483</v>
          </cell>
          <cell r="S47">
            <v>118.483</v>
          </cell>
          <cell r="T47">
            <v>118.483</v>
          </cell>
          <cell r="U47">
            <v>118.483</v>
          </cell>
          <cell r="V47">
            <v>118.483</v>
          </cell>
          <cell r="W47">
            <v>118.483</v>
          </cell>
          <cell r="X47">
            <v>118.483</v>
          </cell>
          <cell r="Y47">
            <v>118.483</v>
          </cell>
          <cell r="Z47">
            <v>118.483</v>
          </cell>
          <cell r="AA47">
            <v>118.483</v>
          </cell>
          <cell r="AB47">
            <v>118.483</v>
          </cell>
          <cell r="AC47">
            <v>118.483</v>
          </cell>
          <cell r="AD47">
            <v>118.483</v>
          </cell>
          <cell r="AE47">
            <v>118.483</v>
          </cell>
          <cell r="AF47">
            <v>118.483</v>
          </cell>
          <cell r="AG47">
            <v>118.483</v>
          </cell>
          <cell r="AH47">
            <v>118.483</v>
          </cell>
          <cell r="AI47">
            <v>118.483</v>
          </cell>
          <cell r="AJ47">
            <v>118.483</v>
          </cell>
          <cell r="AK47">
            <v>118.483</v>
          </cell>
          <cell r="AL47">
            <v>118.483</v>
          </cell>
          <cell r="AM47">
            <v>118.483</v>
          </cell>
          <cell r="AN47">
            <v>118.483</v>
          </cell>
          <cell r="AO47">
            <v>118.483</v>
          </cell>
          <cell r="AP47">
            <v>118.483</v>
          </cell>
          <cell r="AQ47">
            <v>118.483</v>
          </cell>
          <cell r="AR47">
            <v>118.483</v>
          </cell>
          <cell r="AS47">
            <v>118.483</v>
          </cell>
          <cell r="AT47">
            <v>118.483</v>
          </cell>
          <cell r="AU47">
            <v>118.483</v>
          </cell>
          <cell r="AV47">
            <v>118.483</v>
          </cell>
          <cell r="AW47">
            <v>118.483</v>
          </cell>
          <cell r="AX47">
            <v>118.483</v>
          </cell>
          <cell r="AY47">
            <v>118.483</v>
          </cell>
          <cell r="AZ47">
            <v>118.483</v>
          </cell>
          <cell r="BA47">
            <v>118.483</v>
          </cell>
          <cell r="BB47">
            <v>118.483</v>
          </cell>
          <cell r="BC47">
            <v>118.483</v>
          </cell>
        </row>
        <row r="48">
          <cell r="D48" t="str">
            <v>EURO</v>
          </cell>
          <cell r="F48">
            <v>0.70399999999999996</v>
          </cell>
          <cell r="G48">
            <v>0.70399999999999996</v>
          </cell>
          <cell r="H48">
            <v>0.70399999999999996</v>
          </cell>
          <cell r="I48">
            <v>0.70399999999999996</v>
          </cell>
          <cell r="J48">
            <v>0.70399999999999996</v>
          </cell>
          <cell r="K48">
            <v>0.70399999999999996</v>
          </cell>
          <cell r="L48">
            <v>0.70399999999999996</v>
          </cell>
          <cell r="M48">
            <v>0.70399999999999996</v>
          </cell>
          <cell r="N48">
            <v>0.70399999999999996</v>
          </cell>
          <cell r="O48">
            <v>0.70399999999999996</v>
          </cell>
          <cell r="P48">
            <v>0.70399999999999996</v>
          </cell>
          <cell r="Q48">
            <v>0.70399999999999996</v>
          </cell>
          <cell r="R48">
            <v>0.70399999999999996</v>
          </cell>
          <cell r="S48">
            <v>0.70399999999999996</v>
          </cell>
          <cell r="T48">
            <v>0.70399999999999996</v>
          </cell>
          <cell r="U48">
            <v>0.70399999999999996</v>
          </cell>
          <cell r="V48">
            <v>0.70399999999999996</v>
          </cell>
          <cell r="W48">
            <v>0.70399999999999996</v>
          </cell>
          <cell r="X48">
            <v>0.70399999999999996</v>
          </cell>
          <cell r="Y48">
            <v>0.70399999999999996</v>
          </cell>
          <cell r="Z48">
            <v>0.70399999999999996</v>
          </cell>
          <cell r="AA48">
            <v>0.70399999999999996</v>
          </cell>
          <cell r="AB48">
            <v>0.70399999999999996</v>
          </cell>
          <cell r="AC48">
            <v>0.70399999999999996</v>
          </cell>
          <cell r="AD48">
            <v>0.70399999999999996</v>
          </cell>
          <cell r="AE48">
            <v>0.70399999999999996</v>
          </cell>
          <cell r="AF48">
            <v>0.70399999999999996</v>
          </cell>
          <cell r="AG48">
            <v>0.70399999999999996</v>
          </cell>
          <cell r="AH48">
            <v>0.70399999999999996</v>
          </cell>
          <cell r="AI48">
            <v>0.70399999999999996</v>
          </cell>
          <cell r="AJ48">
            <v>0.70399999999999996</v>
          </cell>
          <cell r="AK48">
            <v>0.70399999999999996</v>
          </cell>
          <cell r="AL48">
            <v>0.70399999999999996</v>
          </cell>
          <cell r="AM48">
            <v>0.70399999999999996</v>
          </cell>
          <cell r="AN48">
            <v>0.70399999999999996</v>
          </cell>
          <cell r="AO48">
            <v>0.70399999999999996</v>
          </cell>
          <cell r="AP48">
            <v>0.70399999999999996</v>
          </cell>
          <cell r="AQ48">
            <v>0.70399999999999996</v>
          </cell>
          <cell r="AR48">
            <v>0.70399999999999996</v>
          </cell>
          <cell r="AS48">
            <v>0.70399999999999996</v>
          </cell>
          <cell r="AT48">
            <v>0.70399999999999996</v>
          </cell>
          <cell r="AU48">
            <v>0.70399999999999996</v>
          </cell>
          <cell r="AV48">
            <v>0.70399999999999996</v>
          </cell>
          <cell r="AW48">
            <v>0.70399999999999996</v>
          </cell>
          <cell r="AX48">
            <v>0.70399999999999996</v>
          </cell>
          <cell r="AY48">
            <v>0.70399999999999996</v>
          </cell>
          <cell r="AZ48">
            <v>0.70399999999999996</v>
          </cell>
          <cell r="BA48">
            <v>0.70399999999999996</v>
          </cell>
          <cell r="BB48">
            <v>0.70399999999999996</v>
          </cell>
          <cell r="BC48">
            <v>0.70399999999999996</v>
          </cell>
        </row>
        <row r="49">
          <cell r="D49" t="str">
            <v>USD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BB49">
            <v>1</v>
          </cell>
          <cell r="BC49">
            <v>1</v>
          </cell>
        </row>
        <row r="50">
          <cell r="D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</row>
        <row r="51">
          <cell r="D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</row>
        <row r="52">
          <cell r="D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D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</row>
        <row r="60">
          <cell r="D60" t="str">
            <v>Tenge</v>
          </cell>
          <cell r="F60">
            <v>118.483</v>
          </cell>
          <cell r="G60">
            <v>118.483</v>
          </cell>
          <cell r="H60">
            <v>118.483</v>
          </cell>
          <cell r="I60">
            <v>118.483</v>
          </cell>
          <cell r="J60">
            <v>118.483</v>
          </cell>
          <cell r="K60">
            <v>118.483</v>
          </cell>
          <cell r="L60">
            <v>118.483</v>
          </cell>
          <cell r="M60">
            <v>118.483</v>
          </cell>
          <cell r="N60">
            <v>118.483</v>
          </cell>
          <cell r="O60">
            <v>118.483</v>
          </cell>
          <cell r="P60">
            <v>118.483</v>
          </cell>
          <cell r="Q60">
            <v>118.483</v>
          </cell>
          <cell r="R60">
            <v>118.483</v>
          </cell>
          <cell r="S60">
            <v>118.483</v>
          </cell>
          <cell r="T60">
            <v>118.483</v>
          </cell>
          <cell r="U60">
            <v>118.483</v>
          </cell>
          <cell r="V60">
            <v>118.483</v>
          </cell>
          <cell r="W60">
            <v>118.483</v>
          </cell>
          <cell r="X60">
            <v>118.483</v>
          </cell>
          <cell r="Y60">
            <v>118.483</v>
          </cell>
          <cell r="Z60">
            <v>118.483</v>
          </cell>
          <cell r="AA60">
            <v>118.483</v>
          </cell>
          <cell r="AB60">
            <v>118.483</v>
          </cell>
          <cell r="AC60">
            <v>118.483</v>
          </cell>
          <cell r="AD60">
            <v>118.483</v>
          </cell>
          <cell r="AE60">
            <v>118.483</v>
          </cell>
          <cell r="AF60">
            <v>118.483</v>
          </cell>
          <cell r="AG60">
            <v>118.483</v>
          </cell>
          <cell r="AH60">
            <v>118.483</v>
          </cell>
          <cell r="AI60">
            <v>118.483</v>
          </cell>
          <cell r="AJ60">
            <v>118.483</v>
          </cell>
          <cell r="AK60">
            <v>118.483</v>
          </cell>
          <cell r="AL60">
            <v>118.483</v>
          </cell>
          <cell r="AM60">
            <v>118.483</v>
          </cell>
          <cell r="AN60">
            <v>118.483</v>
          </cell>
          <cell r="AO60">
            <v>118.483</v>
          </cell>
          <cell r="AP60">
            <v>118.483</v>
          </cell>
          <cell r="AQ60">
            <v>118.483</v>
          </cell>
          <cell r="AR60">
            <v>118.483</v>
          </cell>
          <cell r="AS60">
            <v>118.483</v>
          </cell>
          <cell r="AT60">
            <v>118.483</v>
          </cell>
          <cell r="AU60">
            <v>118.483</v>
          </cell>
          <cell r="AV60">
            <v>118.483</v>
          </cell>
          <cell r="AW60">
            <v>118.483</v>
          </cell>
          <cell r="AX60">
            <v>118.483</v>
          </cell>
          <cell r="AY60">
            <v>118.483</v>
          </cell>
          <cell r="AZ60">
            <v>118.483</v>
          </cell>
          <cell r="BA60">
            <v>118.483</v>
          </cell>
        </row>
        <row r="61">
          <cell r="D61" t="str">
            <v>EURO</v>
          </cell>
          <cell r="F61">
            <v>0.70399999999999996</v>
          </cell>
          <cell r="G61">
            <v>0.70399999999999996</v>
          </cell>
          <cell r="H61">
            <v>0.70399999999999996</v>
          </cell>
          <cell r="I61">
            <v>0.70399999999999996</v>
          </cell>
          <cell r="J61">
            <v>0.70399999999999996</v>
          </cell>
          <cell r="K61">
            <v>0.70399999999999996</v>
          </cell>
          <cell r="L61">
            <v>0.70399999999999996</v>
          </cell>
          <cell r="M61">
            <v>0.70399999999999996</v>
          </cell>
          <cell r="N61">
            <v>0.70399999999999996</v>
          </cell>
          <cell r="O61">
            <v>0.70399999999999996</v>
          </cell>
          <cell r="P61">
            <v>0.70399999999999996</v>
          </cell>
          <cell r="Q61">
            <v>0.70399999999999996</v>
          </cell>
          <cell r="R61">
            <v>0.70399999999999996</v>
          </cell>
          <cell r="S61">
            <v>0.70399999999999996</v>
          </cell>
          <cell r="T61">
            <v>0.70399999999999996</v>
          </cell>
          <cell r="U61">
            <v>0.70399999999999996</v>
          </cell>
          <cell r="V61">
            <v>0.70399999999999996</v>
          </cell>
          <cell r="W61">
            <v>0.70399999999999996</v>
          </cell>
          <cell r="X61">
            <v>0.70399999999999996</v>
          </cell>
          <cell r="Y61">
            <v>0.70399999999999996</v>
          </cell>
          <cell r="Z61">
            <v>0.70399999999999996</v>
          </cell>
          <cell r="AA61">
            <v>0.70399999999999996</v>
          </cell>
          <cell r="AB61">
            <v>0.70399999999999996</v>
          </cell>
          <cell r="AC61">
            <v>0.70399999999999996</v>
          </cell>
          <cell r="AD61">
            <v>0.70399999999999996</v>
          </cell>
          <cell r="AE61">
            <v>0.70399999999999996</v>
          </cell>
          <cell r="AF61">
            <v>0.70399999999999996</v>
          </cell>
          <cell r="AG61">
            <v>0.70399999999999996</v>
          </cell>
          <cell r="AH61">
            <v>0.70399999999999996</v>
          </cell>
          <cell r="AI61">
            <v>0.70399999999999996</v>
          </cell>
          <cell r="AJ61">
            <v>0.70399999999999996</v>
          </cell>
          <cell r="AK61">
            <v>0.70399999999999996</v>
          </cell>
          <cell r="AL61">
            <v>0.70399999999999996</v>
          </cell>
          <cell r="AM61">
            <v>0.70399999999999996</v>
          </cell>
          <cell r="AN61">
            <v>0.70399999999999996</v>
          </cell>
          <cell r="AO61">
            <v>0.70399999999999996</v>
          </cell>
          <cell r="AP61">
            <v>0.70399999999999996</v>
          </cell>
          <cell r="AQ61">
            <v>0.70399999999999996</v>
          </cell>
          <cell r="AR61">
            <v>0.70399999999999996</v>
          </cell>
          <cell r="AS61">
            <v>0.70399999999999996</v>
          </cell>
          <cell r="AT61">
            <v>0.70399999999999996</v>
          </cell>
          <cell r="AU61">
            <v>0.70399999999999996</v>
          </cell>
          <cell r="AV61">
            <v>0.70399999999999996</v>
          </cell>
          <cell r="AW61">
            <v>0.70399999999999996</v>
          </cell>
          <cell r="AX61">
            <v>0.70399999999999996</v>
          </cell>
          <cell r="AY61">
            <v>0.70399999999999996</v>
          </cell>
          <cell r="AZ61">
            <v>0.70399999999999996</v>
          </cell>
          <cell r="BA61">
            <v>0.70399999999999996</v>
          </cell>
        </row>
        <row r="62">
          <cell r="D62" t="str">
            <v>USD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1</v>
          </cell>
          <cell r="AY62">
            <v>1</v>
          </cell>
          <cell r="AZ62">
            <v>1</v>
          </cell>
          <cell r="BA62">
            <v>1</v>
          </cell>
        </row>
        <row r="63"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</sheetData>
      <sheetData sheetId="4"/>
      <sheetData sheetId="5"/>
      <sheetData sheetId="6"/>
      <sheetData sheetId="7"/>
      <sheetData sheetId="8"/>
      <sheetData sheetId="9">
        <row r="92">
          <cell r="O92">
            <v>526.68598611263837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NPV"/>
    </sheetNames>
    <sheetDataSet>
      <sheetData sheetId="0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Navigation"/>
      <sheetName val="Inputs"/>
      <sheetName val="Calcs"/>
      <sheetName val="FS"/>
      <sheetName val="support-&gt;"/>
      <sheetName val="Sector 1"/>
      <sheetName val="Sector 2"/>
      <sheetName val="Sector 3"/>
      <sheetName val="CPI_A"/>
      <sheetName val="Риски PwC"/>
      <sheetName val="Риски FO"/>
      <sheetName val="Оценка рисков (2)"/>
      <sheetName val="Баланс рисков (2)"/>
    </sheetNames>
    <sheetDataSet>
      <sheetData sheetId="0"/>
      <sheetData sheetId="1"/>
      <sheetData sheetId="2">
        <row r="10">
          <cell r="E10">
            <v>43831</v>
          </cell>
        </row>
        <row r="14">
          <cell r="D14">
            <v>43831</v>
          </cell>
          <cell r="E14">
            <v>44197</v>
          </cell>
        </row>
        <row r="16">
          <cell r="D16">
            <v>44196</v>
          </cell>
          <cell r="E16">
            <v>46022</v>
          </cell>
        </row>
        <row r="151">
          <cell r="E151">
            <v>12</v>
          </cell>
        </row>
        <row r="152">
          <cell r="E152">
            <v>4</v>
          </cell>
        </row>
        <row r="153">
          <cell r="E153">
            <v>3</v>
          </cell>
        </row>
        <row r="155">
          <cell r="E155">
            <v>1000</v>
          </cell>
        </row>
        <row r="156">
          <cell r="E156">
            <v>1000000</v>
          </cell>
        </row>
      </sheetData>
      <sheetData sheetId="3">
        <row r="7"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</row>
        <row r="8"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</row>
        <row r="11">
          <cell r="I11">
            <v>91</v>
          </cell>
          <cell r="J11">
            <v>91</v>
          </cell>
          <cell r="K11">
            <v>92</v>
          </cell>
          <cell r="L11">
            <v>92</v>
          </cell>
          <cell r="M11">
            <v>90</v>
          </cell>
          <cell r="N11">
            <v>91</v>
          </cell>
          <cell r="O11">
            <v>92</v>
          </cell>
          <cell r="P11">
            <v>92</v>
          </cell>
          <cell r="Q11">
            <v>90</v>
          </cell>
          <cell r="R11">
            <v>91</v>
          </cell>
          <cell r="S11">
            <v>92</v>
          </cell>
          <cell r="T11">
            <v>92</v>
          </cell>
          <cell r="U11">
            <v>90</v>
          </cell>
          <cell r="V11">
            <v>91</v>
          </cell>
          <cell r="W11">
            <v>92</v>
          </cell>
          <cell r="X11">
            <v>92</v>
          </cell>
          <cell r="Y11">
            <v>91</v>
          </cell>
          <cell r="Z11">
            <v>91</v>
          </cell>
          <cell r="AA11">
            <v>92</v>
          </cell>
          <cell r="AB11">
            <v>92</v>
          </cell>
          <cell r="AC11">
            <v>90</v>
          </cell>
          <cell r="AD11">
            <v>91</v>
          </cell>
          <cell r="AE11">
            <v>92</v>
          </cell>
          <cell r="AF11">
            <v>92</v>
          </cell>
          <cell r="AG11">
            <v>90</v>
          </cell>
          <cell r="AH11">
            <v>91</v>
          </cell>
          <cell r="AI11">
            <v>92</v>
          </cell>
          <cell r="AJ11">
            <v>92</v>
          </cell>
          <cell r="AK11">
            <v>90</v>
          </cell>
          <cell r="AL11">
            <v>91</v>
          </cell>
          <cell r="AM11">
            <v>92</v>
          </cell>
          <cell r="AN11">
            <v>92</v>
          </cell>
          <cell r="AO11">
            <v>91</v>
          </cell>
          <cell r="AP11">
            <v>91</v>
          </cell>
          <cell r="AQ11">
            <v>92</v>
          </cell>
          <cell r="AR11">
            <v>92</v>
          </cell>
          <cell r="AS11">
            <v>90</v>
          </cell>
          <cell r="AT11">
            <v>91</v>
          </cell>
          <cell r="AU11">
            <v>92</v>
          </cell>
          <cell r="AV11">
            <v>92</v>
          </cell>
        </row>
        <row r="16"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21">
          <cell r="I21">
            <v>8.6177289256885323E-2</v>
          </cell>
          <cell r="J21">
            <v>0</v>
          </cell>
          <cell r="K21">
            <v>0</v>
          </cell>
          <cell r="L21">
            <v>0</v>
          </cell>
          <cell r="M21">
            <v>8.6177289256885323E-2</v>
          </cell>
          <cell r="N21">
            <v>0</v>
          </cell>
          <cell r="O21">
            <v>0</v>
          </cell>
          <cell r="P21">
            <v>0</v>
          </cell>
          <cell r="Q21">
            <v>8.6177289256885323E-2</v>
          </cell>
          <cell r="R21">
            <v>0</v>
          </cell>
          <cell r="S21">
            <v>0</v>
          </cell>
          <cell r="T21">
            <v>0</v>
          </cell>
          <cell r="U21">
            <v>8.6177289256885323E-2</v>
          </cell>
          <cell r="V21">
            <v>0</v>
          </cell>
          <cell r="W21">
            <v>0</v>
          </cell>
          <cell r="X21">
            <v>0</v>
          </cell>
          <cell r="Y21">
            <v>8.6177289256885323E-2</v>
          </cell>
          <cell r="Z21">
            <v>0</v>
          </cell>
          <cell r="AA21">
            <v>0</v>
          </cell>
          <cell r="AB21">
            <v>0</v>
          </cell>
          <cell r="AC21">
            <v>8.6177289256885323E-2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Предположения"/>
      <sheetName val="Дополнительные основные едств"/>
      <sheetName val="Столовая"/>
      <sheetName val="ФОТ"/>
      <sheetName val="Вводные данные"/>
      <sheetName val="Финансирование"/>
      <sheetName val="ДР"/>
      <sheetName val="НДС"/>
      <sheetName val="ОПУ и ДП"/>
      <sheetName val="Анализ и БЭ"/>
      <sheetName val="Итоги"/>
      <sheetName val="Оценка рисков"/>
      <sheetName val="Баланс рисков"/>
      <sheetName val="Проверки"/>
      <sheetName val="ДП (БИП)"/>
      <sheetName val="Для КП и ПД"/>
    </sheetNames>
    <sheetDataSet>
      <sheetData sheetId="0" refreshError="1">
        <row r="20">
          <cell r="D20">
            <v>0.1</v>
          </cell>
        </row>
        <row r="21">
          <cell r="D21">
            <v>0.2</v>
          </cell>
        </row>
        <row r="37">
          <cell r="C37">
            <v>0.105</v>
          </cell>
        </row>
      </sheetData>
      <sheetData sheetId="1" refreshError="1"/>
      <sheetData sheetId="2" refreshError="1"/>
      <sheetData sheetId="3" refreshError="1"/>
      <sheetData sheetId="4" refreshError="1">
        <row r="15">
          <cell r="C15">
            <v>0.10711999999999999</v>
          </cell>
        </row>
        <row r="27">
          <cell r="D27">
            <v>248561.944580104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СВОД"/>
      <sheetName val="данные"/>
      <sheetName val="кредит"/>
      <sheetName val="Cash Flow"/>
      <sheetName val="PL"/>
      <sheetName val="BS"/>
      <sheetName val="NPV"/>
    </sheetNames>
    <sheetDataSet>
      <sheetData sheetId="0">
        <row r="3">
          <cell r="C3">
            <v>1</v>
          </cell>
        </row>
      </sheetData>
      <sheetData sheetId="1">
        <row r="1">
          <cell r="A1" t="str">
            <v>Вариант 1</v>
          </cell>
        </row>
        <row r="2">
          <cell r="A2" t="str">
            <v>USD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NII"/>
      <sheetName val="ReadMe"/>
      <sheetName val="PlanSvod"/>
      <sheetName val="FactSvod"/>
      <sheetName val="DiffSvod"/>
      <sheetName val="NVP"/>
      <sheetName val="Break-even"/>
      <sheetName val="Report"/>
      <sheetName val="Setting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>
        <row r="6">
          <cell r="B6" t="str">
            <v>тыс.руб.</v>
          </cell>
        </row>
        <row r="11">
          <cell r="B11" t="str">
            <v>за 2004 год</v>
          </cell>
        </row>
        <row r="12">
          <cell r="B12">
            <v>37622</v>
          </cell>
        </row>
      </sheetData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Calcs"/>
      <sheetName val="2.Inputs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Title"/>
      <sheetName val="Sensitivity"/>
      <sheetName val="Assumptions"/>
      <sheetName val="Лист1"/>
      <sheetName val="Calculations"/>
      <sheetName val="FS_POWER"/>
      <sheetName val="FS_COAL"/>
      <sheetName val="Valuation"/>
      <sheetName val="Checks"/>
    </sheetNames>
    <sheetDataSet>
      <sheetData sheetId="0" refreshError="1"/>
      <sheetData sheetId="1" refreshError="1"/>
      <sheetData sheetId="2">
        <row r="10">
          <cell r="D10" t="str">
            <v>TESLA II</v>
          </cell>
        </row>
        <row r="11">
          <cell r="D11" t="str">
            <v>Valuation</v>
          </cell>
        </row>
        <row r="14">
          <cell r="D14">
            <v>1E-3</v>
          </cell>
        </row>
        <row r="19">
          <cell r="E19">
            <v>39448</v>
          </cell>
        </row>
        <row r="20">
          <cell r="I20">
            <v>1</v>
          </cell>
          <cell r="J20">
            <v>2</v>
          </cell>
          <cell r="K20">
            <v>3</v>
          </cell>
          <cell r="L20">
            <v>4</v>
          </cell>
          <cell r="M20">
            <v>5</v>
          </cell>
          <cell r="N20">
            <v>6</v>
          </cell>
          <cell r="O20">
            <v>7</v>
          </cell>
          <cell r="P20">
            <v>8</v>
          </cell>
          <cell r="Q20">
            <v>9</v>
          </cell>
          <cell r="R20">
            <v>10</v>
          </cell>
          <cell r="S20">
            <v>11</v>
          </cell>
          <cell r="T20">
            <v>12</v>
          </cell>
          <cell r="U20">
            <v>13</v>
          </cell>
          <cell r="V20">
            <v>14</v>
          </cell>
          <cell r="W20">
            <v>15</v>
          </cell>
          <cell r="X20">
            <v>16</v>
          </cell>
          <cell r="Y20">
            <v>17</v>
          </cell>
          <cell r="Z20">
            <v>18</v>
          </cell>
          <cell r="AA20">
            <v>19</v>
          </cell>
          <cell r="AB20">
            <v>20</v>
          </cell>
          <cell r="AC20">
            <v>21</v>
          </cell>
          <cell r="AD20">
            <v>22</v>
          </cell>
          <cell r="AE20">
            <v>23</v>
          </cell>
          <cell r="AF20">
            <v>24</v>
          </cell>
          <cell r="AG20">
            <v>25</v>
          </cell>
          <cell r="AH20">
            <v>26</v>
          </cell>
          <cell r="AI20">
            <v>27</v>
          </cell>
          <cell r="AJ20">
            <v>28</v>
          </cell>
          <cell r="AK20">
            <v>29</v>
          </cell>
          <cell r="AL20">
            <v>30</v>
          </cell>
          <cell r="AM20">
            <v>31</v>
          </cell>
          <cell r="AN20">
            <v>32</v>
          </cell>
          <cell r="AO20">
            <v>33</v>
          </cell>
          <cell r="AP20">
            <v>34</v>
          </cell>
          <cell r="AQ20">
            <v>35</v>
          </cell>
          <cell r="AR20">
            <v>36</v>
          </cell>
          <cell r="AS20">
            <v>37</v>
          </cell>
          <cell r="AT20">
            <v>38</v>
          </cell>
          <cell r="AU20">
            <v>39</v>
          </cell>
          <cell r="AV20">
            <v>40</v>
          </cell>
          <cell r="AW20">
            <v>41</v>
          </cell>
          <cell r="AX20">
            <v>42</v>
          </cell>
          <cell r="AY20">
            <v>43</v>
          </cell>
          <cell r="AZ20">
            <v>44</v>
          </cell>
          <cell r="BA20">
            <v>45</v>
          </cell>
          <cell r="BB20">
            <v>46</v>
          </cell>
        </row>
        <row r="21">
          <cell r="I21">
            <v>39448</v>
          </cell>
          <cell r="J21">
            <v>39814</v>
          </cell>
          <cell r="K21">
            <v>40179</v>
          </cell>
          <cell r="L21">
            <v>40544</v>
          </cell>
          <cell r="M21">
            <v>40909</v>
          </cell>
          <cell r="N21">
            <v>41275</v>
          </cell>
          <cell r="O21">
            <v>41640</v>
          </cell>
          <cell r="P21">
            <v>42005</v>
          </cell>
          <cell r="Q21">
            <v>42370</v>
          </cell>
          <cell r="R21">
            <v>42736</v>
          </cell>
          <cell r="S21">
            <v>43101</v>
          </cell>
          <cell r="T21">
            <v>43466</v>
          </cell>
          <cell r="U21">
            <v>43831</v>
          </cell>
          <cell r="V21">
            <v>44197</v>
          </cell>
          <cell r="W21">
            <v>44562</v>
          </cell>
          <cell r="X21">
            <v>44927</v>
          </cell>
          <cell r="Y21">
            <v>45292</v>
          </cell>
          <cell r="Z21">
            <v>45658</v>
          </cell>
          <cell r="AA21">
            <v>46023</v>
          </cell>
          <cell r="AB21">
            <v>46388</v>
          </cell>
          <cell r="AC21">
            <v>46753</v>
          </cell>
          <cell r="AD21">
            <v>47119</v>
          </cell>
          <cell r="AE21">
            <v>47484</v>
          </cell>
          <cell r="AF21">
            <v>47849</v>
          </cell>
          <cell r="AG21">
            <v>48214</v>
          </cell>
          <cell r="AH21">
            <v>48580</v>
          </cell>
          <cell r="AI21">
            <v>48945</v>
          </cell>
          <cell r="AJ21">
            <v>49310</v>
          </cell>
          <cell r="AK21">
            <v>49675</v>
          </cell>
          <cell r="AL21">
            <v>50041</v>
          </cell>
          <cell r="AM21">
            <v>50406</v>
          </cell>
          <cell r="AN21">
            <v>50771</v>
          </cell>
          <cell r="AO21">
            <v>51136</v>
          </cell>
          <cell r="AP21">
            <v>51502</v>
          </cell>
          <cell r="AQ21">
            <v>51867</v>
          </cell>
          <cell r="AR21">
            <v>52232</v>
          </cell>
          <cell r="AS21">
            <v>52597</v>
          </cell>
          <cell r="AT21">
            <v>52963</v>
          </cell>
          <cell r="AU21">
            <v>53328</v>
          </cell>
          <cell r="AV21">
            <v>53693</v>
          </cell>
          <cell r="AW21">
            <v>54058</v>
          </cell>
          <cell r="AX21">
            <v>54424</v>
          </cell>
          <cell r="AY21">
            <v>54789</v>
          </cell>
          <cell r="AZ21">
            <v>55154</v>
          </cell>
          <cell r="BA21">
            <v>55519</v>
          </cell>
          <cell r="BB21">
            <v>55885</v>
          </cell>
        </row>
        <row r="22">
          <cell r="I22">
            <v>39813</v>
          </cell>
          <cell r="J22">
            <v>40178</v>
          </cell>
          <cell r="K22">
            <v>40543</v>
          </cell>
          <cell r="L22">
            <v>40908</v>
          </cell>
          <cell r="M22">
            <v>41274</v>
          </cell>
          <cell r="N22">
            <v>41639</v>
          </cell>
          <cell r="O22">
            <v>42004</v>
          </cell>
          <cell r="P22">
            <v>42369</v>
          </cell>
          <cell r="Q22">
            <v>42735</v>
          </cell>
          <cell r="R22">
            <v>43100</v>
          </cell>
          <cell r="S22">
            <v>43465</v>
          </cell>
          <cell r="T22">
            <v>43830</v>
          </cell>
          <cell r="U22">
            <v>44196</v>
          </cell>
          <cell r="V22">
            <v>44561</v>
          </cell>
          <cell r="W22">
            <v>44926</v>
          </cell>
          <cell r="X22">
            <v>45291</v>
          </cell>
          <cell r="Y22">
            <v>45657</v>
          </cell>
          <cell r="Z22">
            <v>46022</v>
          </cell>
          <cell r="AA22">
            <v>46387</v>
          </cell>
          <cell r="AB22">
            <v>46752</v>
          </cell>
          <cell r="AC22">
            <v>47118</v>
          </cell>
          <cell r="AD22">
            <v>47483</v>
          </cell>
          <cell r="AE22">
            <v>47848</v>
          </cell>
          <cell r="AF22">
            <v>48213</v>
          </cell>
          <cell r="AG22">
            <v>48579</v>
          </cell>
          <cell r="AH22">
            <v>48944</v>
          </cell>
          <cell r="AI22">
            <v>49309</v>
          </cell>
          <cell r="AJ22">
            <v>49674</v>
          </cell>
          <cell r="AK22">
            <v>50040</v>
          </cell>
          <cell r="AL22">
            <v>50405</v>
          </cell>
          <cell r="AM22">
            <v>50770</v>
          </cell>
          <cell r="AN22">
            <v>51135</v>
          </cell>
          <cell r="AO22">
            <v>51501</v>
          </cell>
          <cell r="AP22">
            <v>51866</v>
          </cell>
          <cell r="AQ22">
            <v>52231</v>
          </cell>
          <cell r="AR22">
            <v>52596</v>
          </cell>
          <cell r="AS22">
            <v>52962</v>
          </cell>
          <cell r="AT22">
            <v>53327</v>
          </cell>
          <cell r="AU22">
            <v>53692</v>
          </cell>
          <cell r="AV22">
            <v>54057</v>
          </cell>
          <cell r="AW22">
            <v>54423</v>
          </cell>
          <cell r="AX22">
            <v>54788</v>
          </cell>
          <cell r="AY22">
            <v>55153</v>
          </cell>
          <cell r="AZ22">
            <v>55518</v>
          </cell>
          <cell r="BA22">
            <v>55884</v>
          </cell>
          <cell r="BB22">
            <v>56249</v>
          </cell>
        </row>
        <row r="23">
          <cell r="I23">
            <v>366</v>
          </cell>
          <cell r="J23">
            <v>365</v>
          </cell>
          <cell r="K23">
            <v>365</v>
          </cell>
          <cell r="L23">
            <v>365</v>
          </cell>
          <cell r="M23">
            <v>366</v>
          </cell>
          <cell r="N23">
            <v>365</v>
          </cell>
          <cell r="O23">
            <v>365</v>
          </cell>
          <cell r="P23">
            <v>365</v>
          </cell>
          <cell r="Q23">
            <v>366</v>
          </cell>
          <cell r="R23">
            <v>365</v>
          </cell>
          <cell r="S23">
            <v>365</v>
          </cell>
          <cell r="T23">
            <v>365</v>
          </cell>
          <cell r="U23">
            <v>366</v>
          </cell>
          <cell r="V23">
            <v>365</v>
          </cell>
          <cell r="W23">
            <v>365</v>
          </cell>
          <cell r="X23">
            <v>365</v>
          </cell>
          <cell r="Y23">
            <v>366</v>
          </cell>
          <cell r="Z23">
            <v>365</v>
          </cell>
          <cell r="AA23">
            <v>365</v>
          </cell>
          <cell r="AB23">
            <v>365</v>
          </cell>
          <cell r="AC23">
            <v>366</v>
          </cell>
          <cell r="AD23">
            <v>365</v>
          </cell>
          <cell r="AE23">
            <v>365</v>
          </cell>
          <cell r="AF23">
            <v>365</v>
          </cell>
          <cell r="AG23">
            <v>366</v>
          </cell>
          <cell r="AH23">
            <v>365</v>
          </cell>
          <cell r="AI23">
            <v>365</v>
          </cell>
          <cell r="AJ23">
            <v>365</v>
          </cell>
          <cell r="AK23">
            <v>366</v>
          </cell>
          <cell r="AL23">
            <v>365</v>
          </cell>
          <cell r="AM23">
            <v>365</v>
          </cell>
          <cell r="AN23">
            <v>365</v>
          </cell>
          <cell r="AO23">
            <v>366</v>
          </cell>
          <cell r="AP23">
            <v>365</v>
          </cell>
          <cell r="AQ23">
            <v>365</v>
          </cell>
          <cell r="AR23">
            <v>365</v>
          </cell>
          <cell r="AS23">
            <v>366</v>
          </cell>
          <cell r="AT23">
            <v>365</v>
          </cell>
          <cell r="AU23">
            <v>365</v>
          </cell>
          <cell r="AV23">
            <v>365</v>
          </cell>
          <cell r="AW23">
            <v>366</v>
          </cell>
          <cell r="AX23">
            <v>365</v>
          </cell>
          <cell r="AY23">
            <v>365</v>
          </cell>
          <cell r="AZ23">
            <v>365</v>
          </cell>
          <cell r="BA23">
            <v>366</v>
          </cell>
          <cell r="BB23">
            <v>365</v>
          </cell>
        </row>
        <row r="29">
          <cell r="I29">
            <v>120.23445149483753</v>
          </cell>
          <cell r="J29">
            <v>150</v>
          </cell>
          <cell r="K29">
            <v>151</v>
          </cell>
          <cell r="L29">
            <v>152</v>
          </cell>
          <cell r="M29">
            <v>153</v>
          </cell>
          <cell r="N29">
            <v>154</v>
          </cell>
          <cell r="O29">
            <v>155</v>
          </cell>
          <cell r="P29">
            <v>155</v>
          </cell>
          <cell r="Q29">
            <v>155</v>
          </cell>
          <cell r="R29">
            <v>155</v>
          </cell>
          <cell r="S29">
            <v>155</v>
          </cell>
          <cell r="T29">
            <v>155</v>
          </cell>
          <cell r="U29">
            <v>155</v>
          </cell>
          <cell r="V29">
            <v>125.07276646177699</v>
          </cell>
          <cell r="W29">
            <v>126.323494126395</v>
          </cell>
          <cell r="X29">
            <v>127.58672906765899</v>
          </cell>
          <cell r="Y29">
            <v>128.862596358335</v>
          </cell>
          <cell r="Z29">
            <v>130.15122232191899</v>
          </cell>
          <cell r="AA29">
            <v>130.28137354424101</v>
          </cell>
          <cell r="AB29">
            <v>130.411654917785</v>
          </cell>
          <cell r="AC29">
            <v>130.54206657270299</v>
          </cell>
          <cell r="AD29">
            <v>130.67260863927501</v>
          </cell>
          <cell r="AE29">
            <v>130.80328124791501</v>
          </cell>
          <cell r="AF29">
            <v>130.93408452916299</v>
          </cell>
          <cell r="AG29">
            <v>131.06501861369199</v>
          </cell>
          <cell r="AH29">
            <v>131.196083632305</v>
          </cell>
          <cell r="AI29">
            <v>131.327279715938</v>
          </cell>
          <cell r="AJ29">
            <v>131.45860699565401</v>
          </cell>
          <cell r="AK29">
            <v>131.59006560264899</v>
          </cell>
          <cell r="AL29">
            <v>131.721655668252</v>
          </cell>
          <cell r="AM29">
            <v>131.85337732392</v>
          </cell>
          <cell r="AN29">
            <v>131.85337732392</v>
          </cell>
          <cell r="AO29">
            <v>131.85337732392</v>
          </cell>
          <cell r="AP29">
            <v>131.85337732392</v>
          </cell>
          <cell r="AQ29">
            <v>131.85337732392</v>
          </cell>
          <cell r="AR29">
            <v>131.85337732392</v>
          </cell>
          <cell r="AS29">
            <v>131.85337732392</v>
          </cell>
          <cell r="AT29">
            <v>131.85337732392</v>
          </cell>
          <cell r="AU29">
            <v>131.85337732392</v>
          </cell>
          <cell r="AV29">
            <v>131.85337732392</v>
          </cell>
          <cell r="AW29">
            <v>131.85337732392</v>
          </cell>
          <cell r="AX29">
            <v>131.85337732392</v>
          </cell>
          <cell r="AY29">
            <v>131.85337732392</v>
          </cell>
          <cell r="AZ29">
            <v>131.85337732392</v>
          </cell>
          <cell r="BA29">
            <v>131.85337732392</v>
          </cell>
          <cell r="BB29">
            <v>131.85337732392</v>
          </cell>
        </row>
        <row r="40">
          <cell r="E40">
            <v>39814</v>
          </cell>
        </row>
        <row r="78">
          <cell r="E78">
            <v>0.13500000000000001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7">
          <cell r="G7">
            <v>0</v>
          </cell>
        </row>
      </sheetData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Титул"/>
      <sheetName val="Исх докум"/>
      <sheetName val="Указатель"/>
      <sheetName val="Б1"/>
      <sheetName val="О1"/>
      <sheetName val="Б2"/>
      <sheetName val="О2"/>
      <sheetName val="Б3!!!"/>
      <sheetName val="О3!!!"/>
      <sheetName val="Исх.1"/>
      <sheetName val="Исх.2"/>
      <sheetName val="Исх.3!!!"/>
      <sheetName val="Нетто1"/>
      <sheetName val="Нетто2"/>
      <sheetName val="Нетто3!!!"/>
      <sheetName val="Гориз"/>
      <sheetName val="Верт!!!"/>
      <sheetName val="К-ф!!!"/>
      <sheetName val="Активы (размещ)!!!"/>
      <sheetName val="Уровень показателей!!!"/>
      <sheetName val="Фин. ресурсы!!!"/>
      <sheetName val="Наличие об ср-в!!!"/>
      <sheetName val="Кт!!!"/>
      <sheetName val="Дин. оборотн. ср-в!!!"/>
      <sheetName val="Дт"/>
      <sheetName val="Ликв баланса!!!"/>
      <sheetName val="Самофинанс!!!"/>
      <sheetName val="Рынок сырья"/>
      <sheetName val="Вид продукции"/>
      <sheetName val="Справка_НБ"/>
      <sheetName val="Анализ"/>
      <sheetName val="Показатели"/>
      <sheetName val="Модуль2"/>
      <sheetName val="Аванс кап"/>
      <sheetName val="Текст"/>
    </sheetNames>
    <sheetDataSet>
      <sheetData sheetId="0" refreshError="1"/>
      <sheetData sheetId="1" refreshError="1"/>
      <sheetData sheetId="2" refreshError="1"/>
      <sheetData sheetId="3">
        <row r="6">
          <cell r="B6" t="str">
            <v>услуги по аренде машин оборудования без оператора</v>
          </cell>
        </row>
        <row r="34">
          <cell r="C34">
            <v>0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0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0</v>
          </cell>
          <cell r="D38">
            <v>0</v>
          </cell>
        </row>
        <row r="39">
          <cell r="C39">
            <v>0</v>
          </cell>
          <cell r="D39">
            <v>0</v>
          </cell>
        </row>
      </sheetData>
      <sheetData sheetId="4" refreshError="1"/>
      <sheetData sheetId="5" refreshError="1"/>
      <sheetData sheetId="6" refreshError="1"/>
      <sheetData sheetId="7">
        <row r="58">
          <cell r="C58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8">
          <cell r="E18" t="e">
            <v>#DIV/0!</v>
          </cell>
        </row>
      </sheetData>
      <sheetData sheetId="20" refreshError="1"/>
      <sheetData sheetId="21" refreshError="1"/>
      <sheetData sheetId="22" refreshError="1"/>
      <sheetData sheetId="23">
        <row r="17">
          <cell r="B17">
            <v>0</v>
          </cell>
          <cell r="F17">
            <v>0</v>
          </cell>
        </row>
        <row r="18">
          <cell r="B18">
            <v>0</v>
          </cell>
          <cell r="F18">
            <v>26676.6</v>
          </cell>
        </row>
        <row r="19">
          <cell r="B19">
            <v>0</v>
          </cell>
          <cell r="F19">
            <v>8.1999999999999993</v>
          </cell>
        </row>
        <row r="20">
          <cell r="B20">
            <v>0</v>
          </cell>
          <cell r="F20">
            <v>0</v>
          </cell>
        </row>
        <row r="25">
          <cell r="B25">
            <v>0</v>
          </cell>
          <cell r="F25">
            <v>296249.3</v>
          </cell>
        </row>
        <row r="26">
          <cell r="B26">
            <v>0</v>
          </cell>
          <cell r="F26">
            <v>1718930</v>
          </cell>
        </row>
        <row r="27">
          <cell r="B27">
            <v>0</v>
          </cell>
          <cell r="F27">
            <v>0</v>
          </cell>
        </row>
        <row r="28">
          <cell r="B28">
            <v>0</v>
          </cell>
          <cell r="F28">
            <v>0</v>
          </cell>
        </row>
        <row r="29">
          <cell r="B29">
            <v>0</v>
          </cell>
          <cell r="F29">
            <v>11298.7</v>
          </cell>
        </row>
        <row r="30">
          <cell r="B30">
            <v>0</v>
          </cell>
          <cell r="F30">
            <v>0</v>
          </cell>
        </row>
        <row r="31">
          <cell r="B31">
            <v>0</v>
          </cell>
          <cell r="F31">
            <v>12793.8</v>
          </cell>
        </row>
        <row r="33">
          <cell r="B33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C-1"/>
    </sheetNames>
    <sheetDataSet>
      <sheetData sheetId="0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IRR"/>
      <sheetName val="Sensitvity"/>
      <sheetName val="Summary"/>
      <sheetName val="IncStat"/>
      <sheetName val="CashFl"/>
      <sheetName val="Balance"/>
      <sheetName val="Ratios"/>
      <sheetName val="Debt"/>
      <sheetName val="InvFC"/>
      <sheetName val="ToInvCo"/>
      <sheetName val="ToOpCo"/>
      <sheetName val="Inp"/>
      <sheetName val="Sup"/>
      <sheetName val="TechInput"/>
      <sheetName val="C2T5"/>
      <sheetName val="C2T6"/>
      <sheetName val="C1T1"/>
      <sheetName val="C1T2"/>
      <sheetName val="C1T3"/>
      <sheetName val="DC Tra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Титул"/>
      <sheetName val="Предположения"/>
      <sheetName val="Вводные данные"/>
      <sheetName val="ФОТ"/>
      <sheetName val="Финансирование"/>
      <sheetName val="ДР и А"/>
      <sheetName val="НДС"/>
      <sheetName val="ОП и У"/>
      <sheetName val="ДПП"/>
      <sheetName val="Анализ окуп."/>
      <sheetName val="БЭ"/>
      <sheetName val="Итоги"/>
      <sheetName val="Оценка рисков"/>
      <sheetName val="Баланс рисков"/>
      <sheetName val="Лист2"/>
    </sheetNames>
    <sheetDataSet>
      <sheetData sheetId="0"/>
      <sheetData sheetId="1">
        <row r="48">
          <cell r="B48" t="str">
            <v>оборудование, мебель и инвентарь</v>
          </cell>
        </row>
      </sheetData>
      <sheetData sheetId="2"/>
      <sheetData sheetId="3"/>
      <sheetData sheetId="4">
        <row r="24">
          <cell r="D24">
            <v>287148.24138019996</v>
          </cell>
        </row>
      </sheetData>
      <sheetData sheetId="5"/>
      <sheetData sheetId="6"/>
      <sheetData sheetId="7"/>
      <sheetData sheetId="8">
        <row r="47">
          <cell r="D47">
            <v>15903.249901180738</v>
          </cell>
        </row>
      </sheetData>
      <sheetData sheetId="9">
        <row r="30">
          <cell r="D30">
            <v>8</v>
          </cell>
        </row>
      </sheetData>
      <sheetData sheetId="10">
        <row r="23">
          <cell r="D23">
            <v>-643335.59309007332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План пр-ва"/>
      <sheetName val="Свод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Осн. пара"/>
    </sheetNames>
    <sheetDataSet>
      <sheetData sheetId="0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Оценка рисков  (2)"/>
      <sheetName val="Риски детсад"/>
      <sheetName val="Sup"/>
    </sheetNames>
    <definedNames>
      <definedName name="Header1" refersTo="#ССЫЛКА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Титул"/>
      <sheetName val="Предположения"/>
      <sheetName val="Вводные данные"/>
      <sheetName val="ФОТ"/>
      <sheetName val="НДС"/>
      <sheetName val="Финансирование"/>
      <sheetName val="ДР и А"/>
      <sheetName val="ОПУ и ДП"/>
      <sheetName val="Анализ и БЭ"/>
      <sheetName val="Итоги"/>
      <sheetName val="Оценка рисков"/>
      <sheetName val="Баланс рисков"/>
      <sheetName val="Проверки"/>
      <sheetName val="ДП БИП и базовая "/>
      <sheetName val="Для КП"/>
      <sheetName val="Для КП и ПД"/>
    </sheetNames>
    <sheetDataSet>
      <sheetData sheetId="0"/>
      <sheetData sheetId="1">
        <row r="17">
          <cell r="E17">
            <v>0.1</v>
          </cell>
        </row>
        <row r="76">
          <cell r="D76">
            <v>43618464</v>
          </cell>
        </row>
      </sheetData>
      <sheetData sheetId="2">
        <row r="19">
          <cell r="C19">
            <v>0.3</v>
          </cell>
        </row>
      </sheetData>
      <sheetData sheetId="3"/>
      <sheetData sheetId="4">
        <row r="21">
          <cell r="D21">
            <v>0.10714285714285714</v>
          </cell>
        </row>
        <row r="22">
          <cell r="D22">
            <v>0.89285714285714279</v>
          </cell>
        </row>
      </sheetData>
      <sheetData sheetId="5"/>
      <sheetData sheetId="6"/>
      <sheetData sheetId="7">
        <row r="77">
          <cell r="D77">
            <v>11274.573857979205</v>
          </cell>
        </row>
        <row r="94">
          <cell r="D94">
            <v>107401.72408748622</v>
          </cell>
        </row>
        <row r="95">
          <cell r="D95">
            <v>0.81742509677261466</v>
          </cell>
        </row>
      </sheetData>
      <sheetData sheetId="8">
        <row r="15">
          <cell r="D15">
            <v>4</v>
          </cell>
        </row>
        <row r="18">
          <cell r="D18">
            <v>2</v>
          </cell>
        </row>
        <row r="44">
          <cell r="D44">
            <v>298477.45983825217</v>
          </cell>
        </row>
        <row r="45">
          <cell r="D45">
            <v>18140.662418765805</v>
          </cell>
        </row>
      </sheetData>
      <sheetData sheetId="9"/>
      <sheetData sheetId="10">
        <row r="35">
          <cell r="C35">
            <v>22516</v>
          </cell>
        </row>
      </sheetData>
      <sheetData sheetId="11"/>
      <sheetData sheetId="12"/>
      <sheetData sheetId="13">
        <row r="70">
          <cell r="D70">
            <v>-207597.36068444781</v>
          </cell>
        </row>
      </sheetData>
      <sheetData sheetId="14"/>
      <sheetData sheetId="15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Титул"/>
      <sheetName val="Содержание"/>
      <sheetName val="Предположения"/>
      <sheetName val="Вводные данные"/>
      <sheetName val="ИнвестЗатраты"/>
      <sheetName val="ЭксплутацЗатраты"/>
      <sheetName val="Каналы связи"/>
      <sheetName val="Обслуживание"/>
      <sheetName val="Финансирование"/>
      <sheetName val="ФОТ"/>
      <sheetName val="расчет площади"/>
      <sheetName val="ОПУ и ДП"/>
      <sheetName val="ДР и А"/>
      <sheetName val="штрафы"/>
      <sheetName val="Анализ и БЭ"/>
      <sheetName val="Итоги"/>
      <sheetName val="БИП "/>
      <sheetName val="Бюджкредит"/>
      <sheetName val="Оценка рисков"/>
      <sheetName val="Баланс рисков"/>
      <sheetName val="Исх"/>
    </sheetNames>
    <sheetDataSet>
      <sheetData sheetId="0"/>
      <sheetData sheetId="1"/>
      <sheetData sheetId="2"/>
      <sheetData sheetId="3">
        <row r="38">
          <cell r="C38">
            <v>7.3999999999999996E-2</v>
          </cell>
        </row>
      </sheetData>
      <sheetData sheetId="4">
        <row r="5">
          <cell r="C5">
            <v>300</v>
          </cell>
        </row>
        <row r="6">
          <cell r="C6">
            <v>400</v>
          </cell>
        </row>
        <row r="7">
          <cell r="C7">
            <v>4000</v>
          </cell>
        </row>
      </sheetData>
      <sheetData sheetId="5">
        <row r="17">
          <cell r="D17">
            <v>0.06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Прибыль акимата"/>
      <sheetName val="Прогноз штрафов"/>
      <sheetName val="CapEx"/>
      <sheetName val="OpEx"/>
      <sheetName val="Свод"/>
      <sheetName val="ОПУ и ДП"/>
      <sheetName val="Итоги"/>
      <sheetName val="Расчет займа"/>
      <sheetName val="КЭЗ"/>
      <sheetName val="ФОТ"/>
      <sheetName val="АМО"/>
      <sheetName val="Исх"/>
      <sheetName val="риск"/>
      <sheetName val="рисктабл"/>
      <sheetName val="Виды штрафов"/>
    </sheetNames>
    <sheetDataSet>
      <sheetData sheetId="0"/>
      <sheetData sheetId="1"/>
      <sheetData sheetId="2"/>
      <sheetData sheetId="3">
        <row r="34">
          <cell r="C34">
            <v>0.06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Disclaimer"/>
      <sheetName val="Names"/>
      <sheetName val="Data"/>
      <sheetName val="Economic"/>
      <sheetName val="Finance - Cons"/>
      <sheetName val="Data - CAPEX"/>
      <sheetName val="CAPEX"/>
      <sheetName val="Depreciation"/>
      <sheetName val="Data - OPEX"/>
      <sheetName val="OPEX"/>
      <sheetName val="Revenue"/>
      <sheetName val="Finance"/>
      <sheetName val="Scenarios"/>
      <sheetName val="Real_State"/>
      <sheetName val="ECF"/>
      <sheetName val="Results"/>
      <sheetName val="CF concession"/>
    </sheetNames>
    <sheetDataSet>
      <sheetData sheetId="0"/>
      <sheetData sheetId="1">
        <row r="179">
          <cell r="C179" t="str">
            <v>Дни</v>
          </cell>
        </row>
      </sheetData>
      <sheetData sheetId="2">
        <row r="10">
          <cell r="C10">
            <v>25</v>
          </cell>
        </row>
      </sheetData>
      <sheetData sheetId="3">
        <row r="47">
          <cell r="D47" t="str">
            <v>Tenge</v>
          </cell>
        </row>
      </sheetData>
      <sheetData sheetId="4"/>
      <sheetData sheetId="5"/>
      <sheetData sheetId="6"/>
      <sheetData sheetId="7"/>
      <sheetData sheetId="8"/>
      <sheetData sheetId="9">
        <row r="92">
          <cell r="O92">
            <v>526.68598611263837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Navigation"/>
      <sheetName val="Inputs"/>
      <sheetName val="Calcs"/>
      <sheetName val="FS"/>
      <sheetName val="support-&gt;"/>
      <sheetName val="Sector 1"/>
      <sheetName val="Sector 2"/>
      <sheetName val="Sector 3"/>
      <sheetName val="CPI_A"/>
      <sheetName val="Риски PwC"/>
      <sheetName val="Риски FO"/>
      <sheetName val="Оценка рисков (2)"/>
      <sheetName val="Баланс рисков (2)"/>
    </sheetNames>
    <sheetDataSet>
      <sheetData sheetId="0"/>
      <sheetData sheetId="1"/>
      <sheetData sheetId="2">
        <row r="10">
          <cell r="E10">
            <v>43466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Sup"/>
    </sheetNames>
    <sheetDataSet>
      <sheetData sheetId="0" refreshError="1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Sup"/>
    </sheetNames>
    <sheetDataSet>
      <sheetData sheetId="0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ExecSum"/>
      <sheetName val="Map"/>
      <sheetName val="Assum"/>
      <sheetName val="CAPEX"/>
      <sheetName val="REPEX"/>
      <sheetName val="OPEX"/>
      <sheetName val="Traffic"/>
      <sheetName val="Revenue"/>
      <sheetName val="FixAs"/>
      <sheetName val="Debt"/>
      <sheetName val="Tax"/>
      <sheetName val="Acct"/>
      <sheetName val="Val"/>
      <sheetName val="Comps"/>
      <sheetName val="Index"/>
    </sheetNames>
    <sheetDataSet>
      <sheetData sheetId="0">
        <row r="17">
          <cell r="D17">
            <v>0.06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Data-in"/>
      <sheetName val="NII"/>
      <sheetName val="Report"/>
      <sheetName val="Balance"/>
      <sheetName val="Results"/>
      <sheetName val="Sensivity"/>
      <sheetName val="Kredit"/>
      <sheetName val="NPV"/>
      <sheetName val="Break-even"/>
      <sheetName val="Liquidity"/>
      <sheetName val="Profitability"/>
      <sheetName val="Activity"/>
      <sheetName val="Assets"/>
      <sheetName val="Sens"/>
      <sheetName val="esn"/>
      <sheetName val="с учетом нового курса"/>
      <sheetName val="Свод"/>
      <sheetName val="План пр-ва"/>
      <sheetName val="Осн. пара"/>
      <sheetName val="Invest_pr"/>
      <sheetName val="Project Detail Inputs"/>
    </sheetNames>
    <sheetDataSet>
      <sheetData sheetId="0" refreshError="1">
        <row r="1381">
          <cell r="B1381">
            <v>360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Лист2"/>
    </sheetNames>
    <sheetDataSet>
      <sheetData sheetId="0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СВОД"/>
      <sheetName val="данные"/>
      <sheetName val="кредит"/>
      <sheetName val="Cash Flow"/>
      <sheetName val="PL"/>
      <sheetName val="BS"/>
      <sheetName val="NPV"/>
      <sheetName val="чувствительность"/>
    </sheetNames>
    <sheetDataSet>
      <sheetData sheetId="0" refreshError="1"/>
      <sheetData sheetId="1">
        <row r="1">
          <cell r="A1" t="str">
            <v>Производство вощины</v>
          </cell>
        </row>
      </sheetData>
      <sheetData sheetId="2" refreshError="1"/>
      <sheetData sheetId="3"/>
      <sheetData sheetId="4"/>
      <sheetData sheetId="5" refreshError="1"/>
      <sheetData sheetId="6"/>
      <sheetData sheetId="7" refreshError="1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Бюджет тек. затрат"/>
    </sheetNames>
    <sheetDataSet>
      <sheetData sheetId="0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Assumptions"/>
      <sheetName val="Checks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A-6"/>
    </sheetNames>
    <sheetDataSet>
      <sheetData sheetId="0" refreshError="1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Титул"/>
      <sheetName val="Инструкция"/>
      <sheetName val="Предположения"/>
      <sheetName val="Вводные данные"/>
      <sheetName val="Данные по персоналу"/>
      <sheetName val="Финансирование"/>
      <sheetName val="ДоходыИрасходы"/>
      <sheetName val="ОПУ"/>
      <sheetName val="НнБ"/>
      <sheetName val="Анализ"/>
      <sheetName val="Итоги"/>
      <sheetName val="Матрица рисков 1"/>
      <sheetName val="Матрица рисков 2"/>
      <sheetName val="Матрица рисков 3"/>
      <sheetName val="Оценка рисков"/>
      <sheetName val="Баланс рисков"/>
      <sheetName val="Имитация"/>
      <sheetName val="Результаты анализа"/>
      <sheetName val="Оценка Вероятности"/>
      <sheetName val="Вероятностный подход"/>
      <sheetName val="Метод Сценариев"/>
    </sheetNames>
    <sheetDataSet>
      <sheetData sheetId="0" refreshError="1"/>
      <sheetData sheetId="1" refreshError="1"/>
      <sheetData sheetId="2" refreshError="1"/>
      <sheetData sheetId="3">
        <row r="11">
          <cell r="E11">
            <v>2</v>
          </cell>
        </row>
        <row r="14">
          <cell r="E14">
            <v>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C5">
            <v>24.587659283339736</v>
          </cell>
          <cell r="D5">
            <v>0</v>
          </cell>
        </row>
        <row r="6">
          <cell r="C6">
            <v>99.434528640000011</v>
          </cell>
          <cell r="D6">
            <v>198.86905728000002</v>
          </cell>
        </row>
        <row r="7">
          <cell r="C7">
            <v>0</v>
          </cell>
          <cell r="D7">
            <v>66.553137100800015</v>
          </cell>
        </row>
        <row r="15">
          <cell r="C15">
            <v>0</v>
          </cell>
        </row>
        <row r="16">
          <cell r="C16">
            <v>0</v>
          </cell>
        </row>
        <row r="18">
          <cell r="C18">
            <v>9.320257142857144E-2</v>
          </cell>
        </row>
        <row r="19">
          <cell r="C19">
            <v>36</v>
          </cell>
        </row>
        <row r="20">
          <cell r="C20">
            <v>568.17399999999998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ОтырарПлощадьОПиФА"/>
      <sheetName val="ОтырарПлощадьОПродаж"/>
      <sheetName val="объекты общества"/>
      <sheetName val="ОбъектыОбществаПрочиеХвосты"/>
      <sheetName val="ПрочиеОбъектыХвосты"/>
      <sheetName val="объекты обществаКокшетау"/>
      <sheetName val="БалансСебест"/>
      <sheetName val="РеализацияБухгалтерия"/>
      <sheetName val="Штуки"/>
      <sheetName val="Стоимость"/>
      <sheetName val="Поступления"/>
      <sheetName val="ВозвратДебиторки"/>
      <sheetName val="Итого Потоки"/>
      <sheetName val="Цен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Фин. пок-ли"/>
    </sheetNames>
    <sheetDataSet>
      <sheetData sheetId="0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Форма2"/>
      <sheetName val="Форма1"/>
      <sheetName val="Памятка"/>
      <sheetName val="Форма3"/>
      <sheetName val="Форма4"/>
      <sheetName val="Форма5"/>
      <sheetName val="Форма6"/>
      <sheetName val="Форма7"/>
      <sheetName val="Форма8"/>
      <sheetName val="из сем"/>
      <sheetName val="Instructions"/>
      <sheetName val="US Dollar 2003"/>
      <sheetName val="SDR 2003"/>
      <sheetName val="1NK"/>
      <sheetName val="Captions"/>
      <sheetName val="form"/>
      <sheetName val="Info"/>
      <sheetName val="#ССЫЛКА"/>
      <sheetName val="Пр2"/>
      <sheetName val="из_сем1"/>
      <sheetName val="US_Dollar_20031"/>
      <sheetName val="SDR_20031"/>
      <sheetName val="из_сем"/>
      <sheetName val="US_Dollar_2003"/>
      <sheetName val="SDR_2003"/>
      <sheetName val="из_сем2"/>
      <sheetName val="US_Dollar_20032"/>
      <sheetName val="SDR_20032"/>
      <sheetName val="Статьи"/>
      <sheetName val="Anlagevermögen"/>
      <sheetName val="Input"/>
      <sheetName val="Control Settings"/>
      <sheetName val="Const"/>
      <sheetName val="Dep_OpEx"/>
      <sheetName val="GTM BK"/>
      <sheetName val="Consolidator Inputs"/>
      <sheetName val="Auxilliary_Info"/>
      <sheetName val="KreПК"/>
      <sheetName val="Sheet1"/>
      <sheetName val="7.1"/>
      <sheetName val="Добыча нефти4"/>
      <sheetName val="поставка сравн13"/>
      <sheetName val="Budget"/>
      <sheetName val="2.2 ОтклОТМ"/>
      <sheetName val="1.3.2 ОТМ"/>
      <sheetName val="Предпр"/>
      <sheetName val="ЦентрЗатр"/>
      <sheetName val="ЕдИзм"/>
      <sheetName val="Cost 99v98"/>
      <sheetName val="cant sim"/>
      <sheetName val="PYTB"/>
      <sheetName val="XLR_NoRangeSheet"/>
      <sheetName val="1"/>
      <sheetName val="фот пп2000разбивка"/>
      <sheetName val="Production_Ref Q-1-3"/>
      <sheetName val="ЗАО_н.ит"/>
      <sheetName val="ЗАО_мес"/>
      <sheetName val="Aug"/>
      <sheetName val="Apr"/>
      <sheetName val="Dec"/>
      <sheetName val="Jul"/>
      <sheetName val="Jun"/>
      <sheetName val="May"/>
      <sheetName val="Mar"/>
      <sheetName val="Nov"/>
      <sheetName val="Oct"/>
      <sheetName val="Sep"/>
      <sheetName val="Feb"/>
      <sheetName val="Jan"/>
      <sheetName val="Нефть"/>
      <sheetName val="PP&amp;E mvt for 2003"/>
      <sheetName val="ЯНВАРЬ"/>
      <sheetName val="FP20DB (3)"/>
      <sheetName val="Курс валют"/>
      <sheetName val="АЗФ"/>
      <sheetName val="АК"/>
      <sheetName val="Актюбе"/>
      <sheetName val="ССГПО"/>
      <sheetName val="Другие расходы"/>
      <sheetName val="Форма 4 кап.зат-ты (2)"/>
      <sheetName val="2006 AJE RJE"/>
      <sheetName val="FES"/>
      <sheetName val="группа"/>
      <sheetName val="GAAP TB 31.12.01  detail p&amp;l"/>
      <sheetName val="КЭШ"/>
      <sheetName val="ОПиУ"/>
      <sheetName val="Лист1"/>
      <sheetName val="1БО"/>
      <sheetName val="штат"/>
      <sheetName val="КВЛ"/>
      <sheetName val="Канцтовары"/>
      <sheetName val="аренда"/>
      <sheetName val="связь"/>
      <sheetName val="реклама"/>
      <sheetName val="расхмат"/>
      <sheetName val="прочие стор"/>
      <sheetName val="услуги прочие"/>
      <sheetName val="обуч"/>
      <sheetName val="ком"/>
      <sheetName val="Выкуп порталов"/>
      <sheetName val="представ"/>
      <sheetName val="обуч (2)"/>
      <sheetName val="прочие стор (2)"/>
      <sheetName val="ком (2)"/>
      <sheetName val="КВЛ (2)"/>
      <sheetName val="СД"/>
      <sheetName val="прочие расходы"/>
      <sheetName val="шт (2)"/>
      <sheetName val="аренда (2)"/>
      <sheetName val="прогноз движения денег в ежемес"/>
      <sheetName val="ОПиУ в ежемес."/>
      <sheetName val="Баланс"/>
      <sheetName val="курсы"/>
      <sheetName val="Добыча_нефти41"/>
      <sheetName val="Добыча_нефти4"/>
      <sheetName val="Добыча_нефти42"/>
      <sheetName val="Добычанефти4"/>
      <sheetName val="поставкасравн13"/>
      <sheetName val="XREF"/>
      <sheetName val="Movements"/>
      <sheetName val="АПК реформа"/>
      <sheetName val="База"/>
      <sheetName val="Преискурант"/>
      <sheetName val="стр.245 (2)"/>
      <sheetName val="SETUP"/>
      <sheetName val="топливо"/>
      <sheetName val="Потребители"/>
      <sheetName val="Сдача "/>
      <sheetName val="МО 0012"/>
      <sheetName val="класс"/>
      <sheetName val="14.1.2.2.(Услуги связи)"/>
      <sheetName val="Осн"/>
      <sheetName val="13 NGDO"/>
      <sheetName val="  2.3.2"/>
      <sheetName val=""/>
      <sheetName val="Ввод"/>
      <sheetName val="СписокТЭП"/>
      <sheetName val="12 из 57 АЗС"/>
      <sheetName val="Авансы-1"/>
      <sheetName val="постоянные затраты"/>
      <sheetName val="Бюджет"/>
      <sheetName val="Пок"/>
      <sheetName val="Financial ratios А3"/>
      <sheetName val="2_2 ОтклОТМ"/>
      <sheetName val="1_3_2 ОТМ"/>
      <sheetName val="I. Прогноз доходов"/>
      <sheetName val="свод"/>
      <sheetName val="H3.100 Rollforward"/>
      <sheetName val="Б.мчас (П)"/>
      <sheetName val="Налоги"/>
      <sheetName val="calc"/>
      <sheetName val="Собственный капитал"/>
      <sheetName val="Capex"/>
      <sheetName val="Kolommen_balans"/>
      <sheetName val="SA Procedures"/>
      <sheetName val="Пр 41"/>
      <sheetName val="5R"/>
      <sheetName val="д.7.001"/>
      <sheetName val="-расчет налогов от ФОТ  на 2014"/>
      <sheetName val="misc"/>
      <sheetName val="Production_ref_Q4"/>
      <sheetName val="Sales-COS"/>
      <sheetName val="U2 775 - COGS comparison per su"/>
      <sheetName val="Analytics"/>
      <sheetName val="FA Movement Kyrg"/>
      <sheetName val="Reference"/>
      <sheetName val="Список документов"/>
      <sheetName val="перевозки"/>
      <sheetName val="9"/>
      <sheetName val="2008 ГСМ"/>
      <sheetName val="Плата за загрязнение "/>
      <sheetName val="Типограф"/>
      <sheetName val="IS"/>
      <sheetName val="Hidden"/>
      <sheetName val="ОТЧЕТ КТЖ 01.01.09"/>
      <sheetName val="L-1"/>
      <sheetName val="ввод-вывод ОС авг2004- 2005"/>
      <sheetName val="Форма3.6"/>
      <sheetName val="Graph"/>
      <sheetName val="Pbs_Wbs_ATC"/>
      <sheetName val="Non-Statistical Sampling Master"/>
      <sheetName val="Global Data"/>
      <sheetName val="SMSTemp"/>
      <sheetName val="GAAP TB 30.09.01  detail p&amp;l"/>
      <sheetName val="FA Movement "/>
      <sheetName val="depreciation testing"/>
      <sheetName val="8180 (8181,8182)"/>
      <sheetName val="8082"/>
      <sheetName val="8250"/>
      <sheetName val="8140"/>
      <sheetName val="8070"/>
      <sheetName val="8145"/>
      <sheetName val="8200"/>
      <sheetName val="8113"/>
      <sheetName val="8210"/>
      <sheetName val="Balance Sheet"/>
      <sheetName val="summary"/>
      <sheetName val="канц"/>
      <sheetName val="Datasheet"/>
      <sheetName val="1 вариант  2009 "/>
      <sheetName val="ОборБалФормОтч"/>
      <sheetName val="ТитулЛистОтч"/>
      <sheetName val="finbal10"/>
      <sheetName val="KCC"/>
      <sheetName val="Данные"/>
      <sheetName val="П"/>
      <sheetName val="УПРАВЛЕНИЕ11"/>
      <sheetName val="Лист2"/>
      <sheetName val="исп.см."/>
      <sheetName val="L&amp;E"/>
      <sheetName val="$ IS"/>
      <sheetName val="Макро"/>
      <sheetName val="Апрель"/>
      <sheetName val="Сентябрь"/>
      <sheetName val="Декабрь"/>
      <sheetName val="Ноябрь"/>
      <sheetName val="Квартал"/>
      <sheetName val="Июль"/>
      <sheetName val="Июнь"/>
      <sheetName val="Март"/>
      <sheetName val="факс(2005-20гг.)"/>
      <sheetName val="Содержание"/>
      <sheetName val="Гр5(о)"/>
      <sheetName val="7"/>
      <sheetName val="10"/>
      <sheetName val="ОТиТБ"/>
      <sheetName val="MetaData"/>
      <sheetName val="Russia Print Version"/>
      <sheetName val="12НК"/>
      <sheetName val="3НК"/>
      <sheetName val="7НК"/>
      <sheetName val="2кв."/>
      <sheetName val="A-20"/>
      <sheetName val="ЛСЦ начисленное на 31.12.08"/>
      <sheetName val="ЛЛизинг начис. на 31.12.08"/>
      <sheetName val="ВОЛС"/>
      <sheetName val="Инв.вл"/>
      <sheetName val="факт 2005 г."/>
      <sheetName val="свод грузоотпр."/>
      <sheetName val="11"/>
      <sheetName val="Links"/>
      <sheetName val="PIT&amp;PP(2)"/>
      <sheetName val="Служебный ФКРБ"/>
      <sheetName val="Источник финансирования"/>
      <sheetName val="Способ закупки"/>
      <sheetName val="Тип пункта плана"/>
      <sheetName val="Disclosure"/>
      <sheetName val="Precios"/>
      <sheetName val="Авансы_уплач,деньги в регионах"/>
      <sheetName val="Авансы_уплач,деньги в регионах,"/>
      <sheetName val="d_pok"/>
      <sheetName val="б"/>
      <sheetName val="PLтв - Б"/>
      <sheetName val="4"/>
      <sheetName val="Movement"/>
      <sheetName val="Предположения"/>
      <sheetName val="Калькулятор"/>
      <sheetName val="Список МТ"/>
      <sheetName val="Анализ и БЭ"/>
      <sheetName val="ОПУ и ДП"/>
      <sheetName val="Cash flows - PBC"/>
      <sheetName val="FA register"/>
      <sheetName val="Comp06"/>
      <sheetName val="Keys"/>
      <sheetName val="CO1"/>
      <sheetName val="CO11"/>
      <sheetName val="CO12"/>
      <sheetName val="CO13"/>
      <sheetName val="CO16"/>
      <sheetName val="CO17"/>
      <sheetName val="CO18"/>
      <sheetName val="CO19"/>
      <sheetName val="CO2"/>
      <sheetName val="CO20"/>
      <sheetName val="CO21"/>
      <sheetName val="CO22"/>
      <sheetName val="CO26"/>
      <sheetName val="CO27"/>
      <sheetName val="CO3"/>
      <sheetName val="CO30"/>
      <sheetName val="CO4"/>
      <sheetName val="CO5"/>
      <sheetName val="CO6"/>
      <sheetName val="CO7"/>
      <sheetName val="MACRO2.XLM"/>
      <sheetName val="U-ZR_AT1.XLS"/>
      <sheetName val="TOC"/>
      <sheetName val="NPV"/>
      <sheetName val="План произв-ва (мес.) (бюджет)"/>
      <sheetName val="Курс"/>
      <sheetName val="Inputs"/>
      <sheetName val="Лист3"/>
      <sheetName val="Итоговая таблица"/>
      <sheetName val="Расчет2000Прямой"/>
      <sheetName val="ДД"/>
      <sheetName val="ATI"/>
      <sheetName val="1 (2)"/>
      <sheetName val="ППД"/>
      <sheetName val="2в"/>
      <sheetName val="общ-нефт"/>
      <sheetName val="O.500 Property Tax"/>
      <sheetName val="Блоки"/>
      <sheetName val="_ССЫЛКА"/>
      <sheetName val="Справочник"/>
      <sheetName val="I KEY INFORMATION"/>
      <sheetName val="почтов."/>
      <sheetName val="6НК-cт."/>
      <sheetName val="Interco payables&amp;receivables"/>
      <sheetName val="предприятия"/>
      <sheetName val="Common"/>
      <sheetName val="OPEX&amp;FIN"/>
      <sheetName val="Оборудование_стоим"/>
      <sheetName val="из_сем3"/>
      <sheetName val="US_Dollar_20033"/>
      <sheetName val="SDR_20033"/>
      <sheetName val="Control_Settings"/>
      <sheetName val="GTM_BK"/>
      <sheetName val="Consolidator_Inputs"/>
      <sheetName val="Добыча_нефти43"/>
      <sheetName val="поставка_сравн13"/>
      <sheetName val="2_2_ОтклОТМ"/>
      <sheetName val="1_3_2_ОТМ"/>
      <sheetName val="Cost_99v98"/>
      <sheetName val="cant_sim"/>
      <sheetName val="фот_пп2000разбивка"/>
      <sheetName val="Production_Ref_Q-1-3"/>
      <sheetName val="ЗАО_н_ит"/>
      <sheetName val="PP&amp;E_mvt_for_2003"/>
      <sheetName val="FP20DB_(3)"/>
      <sheetName val="Курс_валют"/>
      <sheetName val="Другие_расходы"/>
      <sheetName val="Форма_4_кап_зат-ты_(2)"/>
      <sheetName val="2006_AJE_RJE"/>
      <sheetName val="GAAP_TB_31_12_01__detail_p&amp;l"/>
      <sheetName val="прочие_стор"/>
      <sheetName val="услуги_прочие"/>
      <sheetName val="Выкуп_порталов"/>
      <sheetName val="обуч_(2)"/>
      <sheetName val="прочие_стор_(2)"/>
      <sheetName val="ком_(2)"/>
      <sheetName val="КВЛ_(2)"/>
      <sheetName val="прочие_расходы"/>
      <sheetName val="шт_(2)"/>
      <sheetName val="аренда_(2)"/>
      <sheetName val="прогноз_движения_денег_в_ежемес"/>
      <sheetName val="ОПиУ_в_ежемес_"/>
      <sheetName val="АПК_реформа"/>
      <sheetName val="стр_245_(2)"/>
      <sheetName val="Сдача_"/>
      <sheetName val="МО_0012"/>
      <sheetName val="14_1_2_2_(Услуги_связи)"/>
      <sheetName val="13_NGDO"/>
      <sheetName val="__2_3_2"/>
      <sheetName val="12_из_57_АЗС"/>
      <sheetName val="постоянные_затраты"/>
      <sheetName val="7_1"/>
      <sheetName val="Пр_41"/>
      <sheetName val="Russia_Print_Version"/>
      <sheetName val="U2_775_-_COGS_comparison_per_su"/>
      <sheetName val="I__Прогноз_доходов"/>
      <sheetName val="Financial_ratios_А3"/>
      <sheetName val="2_2_ОтклОТМ1"/>
      <sheetName val="1_3_2_ОТМ1"/>
      <sheetName val="Б_мчас_(П)"/>
      <sheetName val="2008_ГСМ"/>
      <sheetName val="Плата_за_загрязнение_"/>
      <sheetName val="Собственный_капитал"/>
      <sheetName val="2кв_"/>
      <sheetName val="Non-Statistical_Sampling_Master"/>
      <sheetName val="Global_Data"/>
      <sheetName val="H3_100_Rollforward"/>
      <sheetName val="MACRO2_XLM"/>
      <sheetName val="U-ZR_AT1_XLS"/>
      <sheetName val="План_произв-ва_(мес_)_(бюджет)"/>
      <sheetName val="Инв_вл"/>
      <sheetName val="факт_2005_г_"/>
      <sheetName val="д_7_001"/>
      <sheetName val="свод_грузоотпр_"/>
      <sheetName val="Итоговая_таблица"/>
      <sheetName val="Securities"/>
      <sheetName val="ГСМ Гараж"/>
      <sheetName val="ГСМ по инвест"/>
      <sheetName val="аморт"/>
      <sheetName val="Запчасти Гараж"/>
      <sheetName val="Стор Орг.РМУ"/>
      <sheetName val="Материалы РМУ"/>
      <sheetName val="Постановка на учет авто"/>
      <sheetName val="Размножение проектов"/>
      <sheetName val="материалы ВДГО"/>
      <sheetName val="Тех осмотр"/>
      <sheetName val="Проект 1"/>
      <sheetName val="Объем ВДГО"/>
      <sheetName val="Фин.обязат."/>
      <sheetName val="спецпит,проездн."/>
      <sheetName val="ГМ "/>
      <sheetName val="форма 3 смета затрат"/>
      <sheetName val="Подразделения"/>
      <sheetName val="Проекты"/>
      <sheetName val="Сотрудники"/>
      <sheetName val="прил№10"/>
      <sheetName val="Cashflow"/>
      <sheetName val="Спр. раб."/>
      <sheetName val="K-800 Imp. test"/>
      <sheetName val="факс(2005-20гг_)"/>
      <sheetName val="78"/>
      <sheetName val="PM-TE"/>
      <sheetName val="Test"/>
      <sheetName val="Settings"/>
      <sheetName val="153541"/>
      <sheetName val="Бюджет тек. затрат"/>
      <sheetName val="коммун."/>
      <sheetName val="16.12"/>
      <sheetName val="5"/>
      <sheetName val="fish"/>
      <sheetName val="4b - P&amp;L ProductLine"/>
      <sheetName val="4a - Revenue ProductLine"/>
      <sheetName val="5a - Orders analysis"/>
      <sheetName val="8 - Receivables"/>
      <sheetName val="D1 - Balances input"/>
      <sheetName val="D3 - DBmagn"/>
      <sheetName val="22"/>
      <sheetName val="КР з.ч"/>
      <sheetName val="из_сем4"/>
      <sheetName val="US_Dollar_20034"/>
      <sheetName val="SDR_20034"/>
      <sheetName val="Control_Settings1"/>
      <sheetName val="GTM_BK1"/>
      <sheetName val="Consolidator_Inputs1"/>
      <sheetName val="Добыча_нефти44"/>
      <sheetName val="поставка_сравн131"/>
      <sheetName val="2_2_ОтклОТМ2"/>
      <sheetName val="1_3_2_ОТМ2"/>
      <sheetName val="Cost_99v981"/>
      <sheetName val="cant_sim1"/>
      <sheetName val="фот_пп2000разбивка1"/>
      <sheetName val="Production_Ref_Q-1-31"/>
      <sheetName val="ЗАО_н_ит1"/>
      <sheetName val="PP&amp;E_mvt_for_20031"/>
      <sheetName val="FP20DB_(3)1"/>
      <sheetName val="Курс_валют1"/>
      <sheetName val="Другие_расходы1"/>
      <sheetName val="Форма_4_кап_зат-ты_(2)1"/>
      <sheetName val="2006_AJE_RJE1"/>
      <sheetName val="GAAP_TB_31_12_01__detail_p&amp;l1"/>
      <sheetName val="прочие_стор1"/>
      <sheetName val="услуги_прочие1"/>
      <sheetName val="Выкуп_порталов1"/>
      <sheetName val="обуч_(2)1"/>
      <sheetName val="прочие_стор_(2)1"/>
      <sheetName val="ком_(2)1"/>
      <sheetName val="КВЛ_(2)1"/>
      <sheetName val="прочие_расходы1"/>
      <sheetName val="шт_(2)1"/>
      <sheetName val="аренда_(2)1"/>
      <sheetName val="прогноз_движения_денег_в_ежеме1"/>
      <sheetName val="ОПиУ_в_ежемес_1"/>
      <sheetName val="АПК_реформа1"/>
      <sheetName val="стр_245_(2)1"/>
      <sheetName val="Сдача_1"/>
      <sheetName val="МО_00121"/>
      <sheetName val="14_1_2_2_(Услуги_связи)1"/>
      <sheetName val="13_NGDO1"/>
      <sheetName val="__2_3_21"/>
      <sheetName val="12_из_57_АЗС1"/>
      <sheetName val="постоянные_затраты1"/>
      <sheetName val="7_11"/>
      <sheetName val="Пр_411"/>
      <sheetName val="Russia_Print_Version1"/>
      <sheetName val="U2_775_-_COGS_comparison_per_s1"/>
      <sheetName val="I__Прогноз_доходов1"/>
      <sheetName val="Financial_ratios_А31"/>
      <sheetName val="2_2_ОтклОТМ3"/>
      <sheetName val="1_3_2_ОТМ3"/>
      <sheetName val="Б_мчас_(П)1"/>
      <sheetName val="2008_ГСМ1"/>
      <sheetName val="Плата_за_загрязнение_1"/>
      <sheetName val="Собственный_капитал1"/>
      <sheetName val="2кв_1"/>
      <sheetName val="Non-Statistical_Sampling_Maste1"/>
      <sheetName val="Global_Data1"/>
      <sheetName val="H3_100_Rollforward1"/>
      <sheetName val="MACRO2_XLM1"/>
      <sheetName val="U-ZR_AT1_XLS1"/>
      <sheetName val="План_произв-ва_(мес_)_(бюджет)1"/>
      <sheetName val="Инв_вл1"/>
      <sheetName val="факт_2005_г_1"/>
      <sheetName val="д_7_0011"/>
      <sheetName val="свод_грузоотпр_1"/>
      <sheetName val="Итоговая_таблица1"/>
      <sheetName val="I_KEY_INFORMATION"/>
      <sheetName val="факс(2005-20гг_)1"/>
      <sheetName val="6НК-cт_"/>
      <sheetName val="Interco_payables&amp;receivables"/>
      <sheetName val="1_(2)"/>
      <sheetName val="ОТЧЕТ_КТЖ_01_01_09"/>
      <sheetName val="8180_(8181,8182)"/>
      <sheetName val="Balance_Sheet"/>
      <sheetName val="1_вариант__2009_"/>
      <sheetName val="Список_документов"/>
      <sheetName val="GAAP_TB_30_09_01__detail_p&amp;l"/>
      <sheetName val="O_500_Property_Tax"/>
      <sheetName val="SA_Procedures"/>
      <sheetName val="ГМ_"/>
      <sheetName val="почтов_"/>
      <sheetName val="ГСМ_Гараж"/>
      <sheetName val="ГСМ_по_инвест"/>
      <sheetName val="Запчасти_Гараж"/>
      <sheetName val="Стор_Орг_РМУ"/>
      <sheetName val="Материалы_РМУ"/>
      <sheetName val="Постановка_на_учет_авто"/>
      <sheetName val="Размножение_проектов"/>
      <sheetName val="материалы_ВДГО"/>
      <sheetName val="Тех_осмотр"/>
      <sheetName val="Проект_1"/>
      <sheetName val="Объем_ВДГО"/>
      <sheetName val="Фин_обязат_"/>
      <sheetName val="спецпит,проездн_"/>
      <sheetName val="-расчет_налогов_от_ФОТ__на_2014"/>
      <sheetName val="FA_Movement_Kyrg"/>
      <sheetName val="ввод-вывод_ОС_авг2004-_2005"/>
      <sheetName val="Форма3_6"/>
      <sheetName val="FA_Movement_"/>
      <sheetName val="depreciation_testing"/>
      <sheetName val="форма_3_смета_затрат"/>
      <sheetName val="$_IS"/>
      <sheetName val="Авансы_уплач,деньги_в_регионах"/>
      <sheetName val="Авансы_уплач,деньги_в_регионах,"/>
      <sheetName val="PLтв_-_Б"/>
      <sheetName val="Спр__раб_"/>
      <sheetName val="6 NK"/>
      <sheetName val="1кв. "/>
      <sheetName val="замер"/>
      <sheetName val="Трафик по АУП"/>
      <sheetName val="Трафик по ЦБПТО"/>
      <sheetName val="Трафик по ПНУ"/>
      <sheetName val="Трафик по ЖНУ"/>
      <sheetName val="Трафик по ШНУ"/>
      <sheetName val="18."/>
      <sheetName val="08."/>
      <sheetName val="11."/>
      <sheetName val="14."/>
      <sheetName val="15."/>
      <sheetName val="05."/>
      <sheetName val="09."/>
      <sheetName val="04."/>
      <sheetName val="19."/>
      <sheetName val="01."/>
      <sheetName val="17."/>
      <sheetName val="07."/>
      <sheetName val="06."/>
      <sheetName val="16."/>
      <sheetName val="10."/>
      <sheetName val="28."/>
      <sheetName val="13."/>
      <sheetName val="03."/>
      <sheetName val="29."/>
      <sheetName val="30."/>
      <sheetName val="31."/>
      <sheetName val="27."/>
      <sheetName val="12."/>
      <sheetName val="20."/>
      <sheetName val="24."/>
      <sheetName val="25."/>
      <sheetName val="02."/>
      <sheetName val="21."/>
      <sheetName val="26."/>
      <sheetName val="23."/>
      <sheetName val="22."/>
      <sheetName val="altai income statement"/>
      <sheetName val="коммун_"/>
      <sheetName val="Бюджет_тек__затрат"/>
      <sheetName val="K-800_Imp__test"/>
      <sheetName val="FA_register"/>
      <sheetName val="не_удалять!"/>
      <sheetName val="заявка_на_произ"/>
      <sheetName val="ТД РАП"/>
      <sheetName val="I_KEY_INFORMATION1"/>
      <sheetName val="почтов_1"/>
      <sheetName val="6НК-cт_1"/>
      <sheetName val="Interco_payables&amp;receivables1"/>
      <sheetName val="Трафик_по_АУП"/>
      <sheetName val="Трафик_по_ЦБПТО"/>
      <sheetName val="Трафик_по_ПНУ"/>
      <sheetName val="Трафик_по_ЖНУ"/>
      <sheetName val="Трафик_по_ШНУ"/>
      <sheetName val="18_"/>
      <sheetName val="08_"/>
      <sheetName val="11_"/>
      <sheetName val="14_"/>
      <sheetName val="15_"/>
      <sheetName val="05_"/>
      <sheetName val="09_"/>
      <sheetName val="04_"/>
      <sheetName val="19_"/>
      <sheetName val="01_"/>
      <sheetName val="17_"/>
      <sheetName val="07_"/>
      <sheetName val="06_"/>
      <sheetName val="16_"/>
      <sheetName val="10_"/>
      <sheetName val="28_"/>
      <sheetName val="13_"/>
      <sheetName val="03_"/>
      <sheetName val="29_"/>
      <sheetName val="30_"/>
      <sheetName val="31_"/>
      <sheetName val="27_"/>
      <sheetName val="12_"/>
      <sheetName val="20_"/>
      <sheetName val="24_"/>
      <sheetName val="25_"/>
      <sheetName val="02_"/>
      <sheetName val="21_"/>
      <sheetName val="26_"/>
      <sheetName val="23_"/>
      <sheetName val="22_"/>
      <sheetName val="altai_income_statement"/>
      <sheetName val="Additions_Disposals"/>
      <sheetName val="Assumptions"/>
      <sheetName val="эксп"/>
      <sheetName val="1кв__"/>
      <sheetName val="2БО"/>
      <sheetName val="6_NK"/>
      <sheetName val="Все ТЭП"/>
      <sheetName val="1БК"/>
      <sheetName val="Ôîðìà2"/>
      <sheetName val="Ïàìÿòêà"/>
      <sheetName val="Ôîðìà1"/>
      <sheetName val="Ôîðìà3"/>
      <sheetName val="Ôîðìà4"/>
      <sheetName val="Ôîðìà5"/>
      <sheetName val="Ôîðìà6"/>
      <sheetName val="Ôîðìà7"/>
      <sheetName val="Ôîðìà8"/>
      <sheetName val="èç ñåì"/>
      <sheetName val="Ïð2"/>
      <sheetName val="ÅäÈçì"/>
      <sheetName val="Ïðåäïð"/>
      <sheetName val="Profiles"/>
      <sheetName val="Wells"/>
      <sheetName val="MS"/>
      <sheetName val="из_сем5"/>
      <sheetName val="US_Dollar_20035"/>
      <sheetName val="SDR_20035"/>
      <sheetName val="Control_Settings2"/>
      <sheetName val="GTM_BK2"/>
      <sheetName val="Добыча_нефти45"/>
      <sheetName val="поставка_сравн132"/>
      <sheetName val="2_2_ОтклОТМ4"/>
      <sheetName val="1_3_2_ОТМ4"/>
      <sheetName val="Cost_99v982"/>
      <sheetName val="cant_sim2"/>
      <sheetName val="фот_пп2000разбивка2"/>
      <sheetName val="Production_Ref_Q-1-32"/>
      <sheetName val="ЗАО_н_ит2"/>
      <sheetName val="PP&amp;E_mvt_for_20032"/>
      <sheetName val="FP20DB_(3)2"/>
      <sheetName val="Курс_валют2"/>
      <sheetName val="Другие_расходы2"/>
      <sheetName val="Форма_4_кап_зат-ты_(2)2"/>
      <sheetName val="2006_AJE_RJE2"/>
      <sheetName val="GAAP_TB_31_12_01__detail_p&amp;l2"/>
      <sheetName val="прочие_стор2"/>
      <sheetName val="услуги_прочие2"/>
      <sheetName val="Выкуп_порталов2"/>
      <sheetName val="обуч_(2)2"/>
      <sheetName val="прочие_стор_(2)2"/>
      <sheetName val="ком_(2)2"/>
      <sheetName val="КВЛ_(2)2"/>
      <sheetName val="прочие_расходы2"/>
      <sheetName val="шт_(2)2"/>
      <sheetName val="аренда_(2)2"/>
      <sheetName val="прогноз_движения_денег_в_ежеме2"/>
      <sheetName val="ОПиУ_в_ежемес_2"/>
      <sheetName val="АПК_реформа2"/>
      <sheetName val="стр_245_(2)2"/>
      <sheetName val="Сдача_2"/>
      <sheetName val="МО_00122"/>
      <sheetName val="14_1_2_2_(Услуги_связи)2"/>
      <sheetName val="13_NGDO2"/>
      <sheetName val="__2_3_22"/>
      <sheetName val="12_из_57_АЗС2"/>
      <sheetName val="постоянные_затраты2"/>
      <sheetName val="Consolidator_Inputs2"/>
      <sheetName val="7_12"/>
      <sheetName val="Пр_412"/>
      <sheetName val="Russia_Print_Version2"/>
      <sheetName val="U2_775_-_COGS_comparison_per_s2"/>
      <sheetName val="I__Прогноз_доходов2"/>
      <sheetName val="Financial_ratios_А32"/>
      <sheetName val="2_2_ОтклОТМ5"/>
      <sheetName val="1_3_2_ОТМ5"/>
      <sheetName val="Б_мчас_(П)2"/>
      <sheetName val="2008_ГСМ2"/>
      <sheetName val="Плата_за_загрязнение_2"/>
      <sheetName val="Собственный_капитал2"/>
      <sheetName val="2кв_2"/>
      <sheetName val="Non-Statistical_Sampling_Maste2"/>
      <sheetName val="Global_Data2"/>
      <sheetName val="H3_100_Rollforward2"/>
      <sheetName val="MACRO2_XLM2"/>
      <sheetName val="U-ZR_AT1_XLS2"/>
      <sheetName val="План_произв-ва_(мес_)_(бюджет)2"/>
      <sheetName val="Инв_вл2"/>
      <sheetName val="факт_2005_г_2"/>
      <sheetName val="д_7_0012"/>
      <sheetName val="свод_грузоотпр_2"/>
      <sheetName val="Итоговая_таблица2"/>
      <sheetName val="факс(2005-20гг_)2"/>
      <sheetName val="1_(2)1"/>
      <sheetName val="ОТЧЕТ_КТЖ_01_01_091"/>
      <sheetName val="8180_(8181,8182)1"/>
      <sheetName val="Balance_Sheet1"/>
      <sheetName val="1_вариант__2009_1"/>
      <sheetName val="Список_документов1"/>
      <sheetName val="GAAP_TB_30_09_01__detail_p&amp;l1"/>
      <sheetName val="O_500_Property_Tax1"/>
      <sheetName val="SA_Procedures1"/>
      <sheetName val="ГМ_1"/>
      <sheetName val="ГСМ_Гараж1"/>
      <sheetName val="ГСМ_по_инвест1"/>
      <sheetName val="Запчасти_Гараж1"/>
      <sheetName val="Стор_Орг_РМУ1"/>
      <sheetName val="Материалы_РМУ1"/>
      <sheetName val="Постановка_на_учет_авто1"/>
      <sheetName val="Размножение_проектов1"/>
      <sheetName val="материалы_ВДГО1"/>
      <sheetName val="Тех_осмотр1"/>
      <sheetName val="Проект_11"/>
      <sheetName val="Объем_ВДГО1"/>
      <sheetName val="Фин_обязат_1"/>
      <sheetName val="спецпит,проездн_1"/>
      <sheetName val="-расчет_налогов_от_ФОТ__на_2011"/>
      <sheetName val="FA_Movement_Kyrg1"/>
      <sheetName val="ввод-вывод_ОС_авг2004-_20051"/>
      <sheetName val="Форма3_61"/>
      <sheetName val="FA_Movement_1"/>
      <sheetName val="depreciation_testing1"/>
      <sheetName val="форма_3_смета_затрат1"/>
      <sheetName val="$_IS1"/>
      <sheetName val="Авансы_уплач,деньги_в_регионах1"/>
      <sheetName val="Авансы_уплач,деньги_в_регионах2"/>
      <sheetName val="PLтв_-_Б1"/>
      <sheetName val="Спр__раб_1"/>
      <sheetName val="K-800_Imp__test1"/>
      <sheetName val="FA_register1"/>
      <sheetName val="Бюджет_тек__затрат1"/>
      <sheetName val="16_12"/>
      <sheetName val="4b_-_P&amp;L_ProductLine"/>
      <sheetName val="4a_-_Revenue_ProductLine"/>
      <sheetName val="5a_-_Orders_analysis"/>
      <sheetName val="8_-_Receivables"/>
      <sheetName val="D1_-_Balances_input"/>
      <sheetName val="D3_-_DBmagn"/>
      <sheetName val="ЛСЦ_начисленное_на_31_12_08"/>
      <sheetName val="ЛЛизинг_начис__на_31_12_08"/>
      <sheetName val="исп_см_"/>
      <sheetName val="Служебный_ФКРБ"/>
      <sheetName val="Источник_финансирования"/>
      <sheetName val="Способ_закупки"/>
      <sheetName val="Тип_пункта_плана"/>
      <sheetName val="Cash_flows_-_PBC"/>
      <sheetName val="коммун_1"/>
      <sheetName val="ТД_РАП"/>
      <sheetName val="Служебный ФК_x0005__x0000_"/>
      <sheetName val="6НК簀⽕쐀⽕"/>
      <sheetName val="Loaded"/>
      <sheetName val="Project Detail Inputs"/>
      <sheetName val="Исх.данные"/>
      <sheetName val="распределение модели"/>
      <sheetName val="цеховые"/>
      <sheetName val="Production_analysis"/>
      <sheetName val="N"/>
      <sheetName val="breakdown"/>
      <sheetName val="P&amp;L"/>
      <sheetName val="Provisions"/>
      <sheetName val="FA depreciation"/>
      <sheetName val="InputTI"/>
      <sheetName val="CD-실적"/>
      <sheetName val="без НДС"/>
      <sheetName val="доп_дан_"/>
      <sheetName val="бартер"/>
      <sheetName val="FS-97"/>
      <sheetName val="Служебный ФК_x0005_"/>
      <sheetName val="6НКԯ_x0000_缀_x0000_"/>
      <sheetName val="доп.дан."/>
      <sheetName val="Служебный ФК_x0000__x0000_"/>
      <sheetName val="6НК_x0007__x001c__x0009__x000d_"/>
      <sheetName val="_x0000__x000e__x0000__x000a__x0000__x0008__x0000__x000a__x0000__x000b__x0000__x0010__x0000__x0007_"/>
      <sheetName val="Служебный ФК恔_x001c_"/>
      <sheetName val="Служебный ФК皸ɫ"/>
      <sheetName val="6НК0_x0000_堀-"/>
      <sheetName val="6НК0_x0000_瀀"/>
      <sheetName val="6НК0_x0000_"/>
      <sheetName val="6НК0_x0000_　Y"/>
      <sheetName val="Служебный ФК_x0017_"/>
      <sheetName val="Служебный ФК_xdd10__x001f_"/>
      <sheetName val="Служебный ФК悄,"/>
      <sheetName val="Служебный ФК_xdd90__x0012_"/>
      <sheetName val="6НК_x0007__x001c_ _x000d_"/>
      <sheetName val="Служебный_ФК"/>
      <sheetName val="Input_Assumptions"/>
      <sheetName val="Служебный ФК厈-"/>
      <sheetName val="Служебный ФК⽄"/>
      <sheetName val="Служебный ФК⽬"/>
      <sheetName val="Служебный ФК嵔 "/>
      <sheetName val="Служебный ФК峔("/>
      <sheetName val="Служебный ФК『"/>
      <sheetName val="Служебный ФК⿯"/>
      <sheetName val="Служебный ФКૐǪ"/>
      <sheetName val="Служебный ФК　"/>
      <sheetName val="6НК/_x0000_쀀"/>
      <sheetName val="6НК/_x0000_栀)"/>
      <sheetName val="6НК/_x0000_瀀à"/>
      <sheetName val="6НК/_x0000_⠀´"/>
      <sheetName val="6НК/_x0000_ࠀµ"/>
      <sheetName val="6НК/_x0000_쀀Ø"/>
      <sheetName val="6НК/_x0000_蠀"/>
      <sheetName val="6НК/_x0000_ü"/>
      <sheetName val="6НК/_x0000_£"/>
      <sheetName val="6НК/_x0000_頀K"/>
      <sheetName val="ноябрь - декабрь"/>
      <sheetName val="Summary &amp; Variables"/>
      <sheetName val="Технический"/>
      <sheetName val="Индексы"/>
      <sheetName val="6НКԯ"/>
      <sheetName val="Служебный ФК"/>
      <sheetName val="6НК0"/>
      <sheetName val="Служебный ФК_x001f_"/>
      <sheetName val="Служебный ФК_x0012_"/>
      <sheetName val="6НК/_x0000__xd800_¹"/>
      <sheetName val="Админ и ОPEX 2010-12гг"/>
      <sheetName val="ВСДС_1 (MAIN)"/>
      <sheetName val="Общие данные"/>
      <sheetName val="Затраты утил.ТБО"/>
      <sheetName val="14_1_2_2__Услуги связи_"/>
      <sheetName val="тиме"/>
      <sheetName val="ПАРАМ"/>
      <sheetName val="6НК퐀ᵝഀ놃"/>
      <sheetName val="[form.xls]6НК/_x0000_쀀Ø"/>
      <sheetName val="[form.xls]6НК/_x0000_쀀"/>
      <sheetName val="[form.xls]6НК/_x0000_栀)"/>
      <sheetName val="[form.xls]6НК/_x0000_瀀à"/>
      <sheetName val="[form.xls]6НК/_x0000_⠀´"/>
      <sheetName val="[form.xls]6НК/_x0000_ࠀµ"/>
      <sheetName val="[form.xls]6НК/_x0000_蠀"/>
      <sheetName val="[form.xls]6НК/_x0000_ü"/>
      <sheetName val="[form.xls]6НК/_x0000_£"/>
      <sheetName val="[form.xls]6НК/_x0000_頀K"/>
      <sheetName val=" По скв"/>
      <sheetName val="Программа(М)"/>
      <sheetName val="[form.xls][form.xls]6НК/_x0000_쀀"/>
      <sheetName val="[form.xls][form.xls]6НК/_x0000_栀)"/>
      <sheetName val="[form.xls][form.xls]6НК/_x0000_瀀à"/>
      <sheetName val="[form.xls][form.xls]6НК/_x0000_⠀´"/>
      <sheetName val="[form.xls][form.xls]6НК/_x0000_ࠀµ"/>
      <sheetName val="[form.xls][form.xls]6НК/_x0000_쀀Ø"/>
      <sheetName val="6НК≟ഀﲃ"/>
      <sheetName val="канат.прод."/>
      <sheetName val="канат_прод_"/>
      <sheetName val="ноябрь_-_декабрь"/>
      <sheetName val="Ф3"/>
      <sheetName val="I_KEY_INFORMATION2"/>
      <sheetName val="почтов_2"/>
      <sheetName val="6НК-cт_2"/>
      <sheetName val="Interco_payables&amp;receivables2"/>
      <sheetName val="Трафик_по_АУП1"/>
      <sheetName val="Трафик_по_ЦБПТО1"/>
      <sheetName val="Трафик_по_ПНУ1"/>
      <sheetName val="Трафик_по_ЖНУ1"/>
      <sheetName val="Трафик_по_ШНУ1"/>
      <sheetName val="18_1"/>
      <sheetName val="08_1"/>
      <sheetName val="11_1"/>
      <sheetName val="14_1"/>
      <sheetName val="15_1"/>
      <sheetName val="05_1"/>
      <sheetName val="09_1"/>
      <sheetName val="6НК/"/>
      <sheetName val="Test of FA Installation"/>
      <sheetName val="Additions"/>
      <sheetName val="Расчет объема СУИБ"/>
      <sheetName val="LTM"/>
      <sheetName val="CREDIT STATS"/>
      <sheetName val="DropZone"/>
      <sheetName val="Analitics"/>
      <sheetName val="Управление"/>
      <sheetName val="input_data"/>
      <sheetName val="Финбюджет свод "/>
      <sheetName val="Staff"/>
      <sheetName val="[form.xls]6НК/_x0000__xd800_¹"/>
      <sheetName val="Пром1"/>
      <sheetName val="Ural med"/>
      <sheetName val="НДПИ"/>
      <sheetName val="CONB001A_010_30"/>
      <sheetName val="Store"/>
      <sheetName val="КС 2018"/>
      <sheetName val="Lists"/>
      <sheetName val="[form.xls][form.xls]6НК/_x0000_蠀"/>
      <sheetName val="[form.xls][form.xls]6НК/_x0000_ü"/>
      <sheetName val="[form.xls][form.xls]6НК/_x0000_£"/>
      <sheetName val="[form.xls][form.xls]6НК/_x0000_頀K"/>
      <sheetName val="[form.xls][form.xls]6НК/_x0000__xd800_¹"/>
      <sheetName val="полугодие"/>
      <sheetName val="Вып.П.П."/>
      <sheetName val="кварталы"/>
      <sheetName val="план"/>
      <sheetName val="Россия-экспорт"/>
      <sheetName val="6НК/_x0000_�¹"/>
      <sheetName val="Энергия"/>
      <sheetName val="всп"/>
      <sheetName val="b-4"/>
      <sheetName val="Служебный ФК _x0000_"/>
      <sheetName val="Служебный ФК "/>
      <sheetName val="6НК/_x0000_렀£"/>
      <sheetName val="[form.xls]6НК/_x0000_�¹"/>
      <sheetName val="[form.xls][form.xls]6НК/_x0000_�¹"/>
      <sheetName val="Коэфф"/>
      <sheetName val="98-02E&amp;PSUM"/>
      <sheetName val="4НК"/>
      <sheetName val="[form.xls]6НК/_x0000_렀£"/>
      <sheetName val="БРК УЖ"/>
      <sheetName val="БРК ЮКО свод"/>
      <sheetName val="Сбер 1450"/>
      <sheetName val="Сбер 1300"/>
      <sheetName val="Сбер 2500"/>
      <sheetName val="Сбер 3750"/>
      <sheetName val="[form.xls]6НК/"/>
      <sheetName val="Все виды материалов D`1-18"/>
      <sheetName val="Product Assumptions"/>
      <sheetName val="План_произв-в_x0006__x000c__x0007__x000f__x0010__x0011__x0007__x0007_贰΢ǅ"/>
      <sheetName val="Служебный ФК?_x001f_"/>
      <sheetName val="Служебный ФК?_x0012_"/>
      <sheetName val="Служебный ФК悤_x001d_"/>
      <sheetName val="6НК吀ᥢഀ榃"/>
      <sheetName val="ConsumptionPerUnit"/>
      <sheetName val="14.1.8.11.(Прочие)"/>
      <sheetName val="План_произв-в_x0006__x000c__x0007__x000f__x0010__x0011__x0007__x0007_贰΢ǅ_x0000_Ā_x0000__x0000__x0000__x0000_"/>
      <sheetName val="[form.xls][form.xls]6НК/"/>
      <sheetName val="3.ФОТ"/>
      <sheetName val="4.Налоги"/>
      <sheetName val="Залоги c RS"/>
      <sheetName val="Исх"/>
      <sheetName val="WBS98"/>
      <sheetName val="Chart_data"/>
      <sheetName val="[form.xls][form.xls]6НК/_x0000_렀£"/>
      <sheetName val="6НК쌊 /_x0000_"/>
      <sheetName val="Конс "/>
      <sheetName val="Конфигурация МАКРО"/>
      <sheetName val="показатели"/>
      <sheetName val="3.3.31."/>
      <sheetName val="TMP"/>
      <sheetName val="новая _5"/>
      <sheetName val="01-45"/>
      <sheetName val="Sheet3"/>
      <sheetName val="14"/>
      <sheetName val="ОПГЗ"/>
      <sheetName val="План ГЗ"/>
      <sheetName val="Вид предмета"/>
      <sheetName val="Год"/>
      <sheetName val="Месяцы"/>
      <sheetName val="ЭКРБ"/>
      <sheetName val="Фонд"/>
      <sheetName val="Input TI"/>
      <sheetName val="6НК쌊 /"/>
      <sheetName val="ожид ФОТ_2010_форма1"/>
      <sheetName val="свод ФОТ"/>
      <sheetName val="Актив(1)"/>
      <sheetName val="6НК  _x0009__x000d_"/>
      <sheetName val="Служебный ФК恔 "/>
      <sheetName val="Служебный ФК "/>
      <sheetName val="Служебный ФК  "/>
      <sheetName val="6НК   _x000d_"/>
      <sheetName val="Индексы перероценки"/>
      <sheetName val="ïîñòàâêà ñðàâí13"/>
      <sheetName val="1.Р"/>
      <sheetName val="Акколь"/>
      <sheetName val="Шт расписание"/>
      <sheetName val="TPC con vs bdg"/>
      <sheetName val="PY misstatements"/>
      <sheetName val="Planned VoWD"/>
      <sheetName val="KONSOLID"/>
      <sheetName val="Prelim Cost"/>
      <sheetName val="мат расходы"/>
      <sheetName val="25. Hidden"/>
      <sheetName val="2. Inputs"/>
      <sheetName val="A4-1&amp;2"/>
      <sheetName val="Lead"/>
      <sheetName val="Variants"/>
      <sheetName val="Utility"/>
      <sheetName val="FA_depreciation"/>
      <sheetName val="PY_misstatements"/>
      <sheetName val="treatment summary"/>
      <sheetName val="sheet0"/>
      <sheetName val="Код_ГТМ"/>
      <sheetName val="CPI"/>
      <sheetName val="расш по 146  _2_"/>
      <sheetName val="_x0000_ _x0000__x000a__x0000_ _x0000__x000a__x0000_ _x0000_ _x0000_ "/>
      <sheetName val="6НК/_x0000_蠀 "/>
      <sheetName val="[form.xls]6НК/_x0000_蠀 "/>
      <sheetName val="6НК/_x0000_ ¹"/>
      <sheetName val="[form.xls][form.xls]6НК/_x0000_蠀 "/>
      <sheetName val="6НК/_x0000_ó"/>
      <sheetName val="расчет премии за 4 кв_12г"/>
      <sheetName val="ФОТ_2013 (2)"/>
      <sheetName val="Ком услуги аренды"/>
      <sheetName val="СВОД по НД расх"/>
      <sheetName val="Свод Мат по Тр 2012"/>
      <sheetName val="февраль"/>
      <sheetName val="VI REVENUE OOD"/>
      <sheetName val="IIb P&amp;L short"/>
      <sheetName val="IV REVENUE ROOMS"/>
      <sheetName val="IV REVENUE  F&amp;B"/>
      <sheetName val="CURCURS"/>
      <sheetName val="КАТО"/>
      <sheetName val="Фин. пок-ли"/>
      <sheetName val="COS"/>
      <sheetName val="пассоб"/>
      <sheetName val="Royalty"/>
      <sheetName val="DCF"/>
      <sheetName val="Prep"/>
      <sheetName val="ГБ"/>
      <sheetName val="Добыча_нефти46"/>
      <sheetName val="GAAP_TB_31_12_01__detail_p&amp;l3"/>
      <sheetName val="прочие_стор3"/>
      <sheetName val="услуги_прочие3"/>
      <sheetName val="Выкуп_порталов3"/>
      <sheetName val="обуч_(2)3"/>
      <sheetName val="прочие_стор_(2)3"/>
      <sheetName val="ком_(2)3"/>
      <sheetName val="КВЛ_(2)3"/>
      <sheetName val="прочие_расходы3"/>
      <sheetName val="шт_(2)3"/>
      <sheetName val="аренда_(2)3"/>
      <sheetName val="прогноз_движения_денег_в_ежеме3"/>
      <sheetName val="ОПиУ_в_ежемес_3"/>
      <sheetName val="Б_мчас_(П)3"/>
      <sheetName val="АПК_реформа3"/>
      <sheetName val="PP&amp;E_mvt_for_20033"/>
      <sheetName val="2008_ГСМ3"/>
      <sheetName val="Плата_за_загрязнение_3"/>
      <sheetName val="ОТЧЕТ_КТЖ_01_01_092"/>
      <sheetName val="8180_(8181,8182)2"/>
      <sheetName val="Balance_Sheet2"/>
      <sheetName val="поставка_сравн133"/>
      <sheetName val="1_вариант__2009_2"/>
      <sheetName val="Список_документов2"/>
      <sheetName val="GAAP_TB_30_09_01__detail_p&amp;l2"/>
      <sheetName val="факс(2005-20гг_)3"/>
      <sheetName val="$_IS2"/>
      <sheetName val="Служебный_ФКРБ1"/>
      <sheetName val="Источник_финансирования1"/>
      <sheetName val="Способ_закупки1"/>
      <sheetName val="Тип_пункта_плана1"/>
      <sheetName val="Авансы_уплач,деньги_в_регионах3"/>
      <sheetName val="Авансы_уплач,деньги_в_регионах4"/>
      <sheetName val="PLтв_-_Б2"/>
      <sheetName val="1_(2)2"/>
      <sheetName val="O_500_Property_Tax2"/>
      <sheetName val="форма_3_смета_затрат2"/>
      <sheetName val="Бюджет_тек__затрат2"/>
      <sheetName val="Спр__раб_2"/>
      <sheetName val="ГСМ_Гараж2"/>
      <sheetName val="ГСМ_по_инвест2"/>
      <sheetName val="Запчасти_Гараж2"/>
      <sheetName val="Стор_Орг_РМУ2"/>
      <sheetName val="Материалы_РМУ2"/>
      <sheetName val="Постановка_на_учет_авто2"/>
      <sheetName val="Размножение_проектов2"/>
      <sheetName val="материалы_ВДГО2"/>
      <sheetName val="Тех_осмотр2"/>
      <sheetName val="Проект_12"/>
      <sheetName val="Объем_ВДГО2"/>
      <sheetName val="Фин_обязат_2"/>
      <sheetName val="спецпит,проездн_2"/>
      <sheetName val="K-800_Imp__test2"/>
      <sheetName val="FA_register2"/>
      <sheetName val="коммун_2"/>
      <sheetName val="ТД_РАП1"/>
      <sheetName val="доп_дан_1"/>
      <sheetName val="6НК__x000a_"/>
      <sheetName val="_x000a__x000a_"/>
      <sheetName val="6НК _x000a_"/>
      <sheetName val="Вып_П_П_"/>
      <sheetName val="План_произв-в贰΢ǅĀ"/>
      <sheetName val="Служебный_ФК恔"/>
      <sheetName val="Служебный_ФК皸ɫ"/>
      <sheetName val="Служебный_ФК"/>
      <sheetName val="Служебный_ФК悄,"/>
      <sheetName val="Служебный_ФК峔("/>
      <sheetName val="Служебный_ФК厈-"/>
      <sheetName val="Служебный_ФК⽄"/>
      <sheetName val="Служебный_ФК⽬"/>
      <sheetName val="Служебный_ФК嵔_"/>
      <sheetName val="Служебный_ФК『"/>
      <sheetName val="Служебный_ФК⿯"/>
      <sheetName val="Служебный_ФКૐǪ"/>
      <sheetName val="Служебный_ФК　"/>
      <sheetName val="Summary_&amp;_Variables"/>
      <sheetName val="Служебный_ФК1"/>
      <sheetName val="[form_xls]6НК/쀀"/>
      <sheetName val="[form_xls]6НК/栀)"/>
      <sheetName val="[form_xls]6НК/瀀à"/>
      <sheetName val="[form_xls]6НК/⠀´"/>
      <sheetName val="[form_xls]6НК/ࠀµ"/>
      <sheetName val="[form_xls]6НК/쀀Ø"/>
      <sheetName val="[form_xls]6НК/蠀"/>
      <sheetName val="[form_xls]6НК/ü"/>
      <sheetName val="[form_xls]6НК/£"/>
      <sheetName val="[form_xls]6НК/蠀"/>
      <sheetName val="[form_xls]6НК/頀K"/>
      <sheetName val="[form_xls][form_xls]6НК/쀀"/>
      <sheetName val="[form_xls][form_xls]6НК/栀)"/>
      <sheetName val="[form_xls][form_xls]6НК/瀀à"/>
      <sheetName val="[form_xls][form_xls]6НК/⠀´"/>
      <sheetName val="[form_xls][form_xls]6НК/ࠀµ"/>
      <sheetName val="[form_xls][form_xls]6НК/쀀Ø"/>
      <sheetName val="[form_xls][form_xls]6НК/蠀"/>
      <sheetName val="[form_xls][form_xls]6НК/ü"/>
      <sheetName val="[form_xls][form_xls]6НК/£"/>
      <sheetName val="[form_xls][form_xls]6НК/蠀"/>
      <sheetName val="[form_xls][form_xls]6НК/頀K"/>
      <sheetName val="Comp"/>
      <sheetName val="рев дф (1.08.) (3)"/>
      <sheetName val="Фонд 15гор"/>
      <sheetName val="List of Functions"/>
      <sheetName val="пост. пар."/>
      <sheetName val="Бонды стр.3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/>
      <sheetData sheetId="952" refreshError="1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/>
      <sheetData sheetId="965"/>
      <sheetData sheetId="966"/>
      <sheetData sheetId="967" refreshError="1"/>
      <sheetData sheetId="968"/>
      <sheetData sheetId="969"/>
      <sheetData sheetId="970"/>
      <sheetData sheetId="971"/>
      <sheetData sheetId="972"/>
      <sheetData sheetId="973" refreshError="1"/>
      <sheetData sheetId="974"/>
      <sheetData sheetId="975" refreshError="1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 refreshError="1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Вводные данные"/>
      <sheetName val="WACC"/>
      <sheetName val="ДОПУЩЕНИЕ"/>
      <sheetName val="ФОТ"/>
      <sheetName val="Эксплуатационные расходы"/>
      <sheetName val="ПОКАЗАТЕЛИ"/>
      <sheetName val="Структура затрат"/>
      <sheetName val="БАЛАНС"/>
      <sheetName val="ДДС"/>
      <sheetName val="ОПУ"/>
      <sheetName val="НАЛОГИ"/>
      <sheetName val="ТАРИФ"/>
      <sheetName val="КРЕДИТ "/>
      <sheetName val="Фин лизинг"/>
      <sheetName val="ЗАЙМЫ1"/>
      <sheetName val="CAPEX"/>
      <sheetName val="ЗАЙМЫ2"/>
      <sheetName val="чувствительность"/>
      <sheetName val="Издержки"/>
      <sheetName val="Оценка рисков"/>
      <sheetName val="Баланс рисков"/>
      <sheetName val="ОСиНМА"/>
      <sheetName val="СЕТИ"/>
    </sheetNames>
    <sheetDataSet>
      <sheetData sheetId="0">
        <row r="20">
          <cell r="D20">
            <v>1485587.80528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ИсхД+"/>
      <sheetName val="Нетто3!!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:r="http://schemas.openxmlformats.org/officeDocument/2006/relationships" xmlns="http://schemas.openxmlformats.org/spreadsheetml/2006/main">
  <externalBook r:id="rId1">
    <sheetNames>
      <sheetName val="Осн.показ"/>
    </sheetNames>
    <sheetDataSet>
      <sheetData sheetId="0" refreshError="1"/>
    </sheetDataSet>
  </externalBook>
</externalLink>
</file>

<file path=xl/externalLinks/externalLink44.xml><?xml version="1.0" encoding="utf-8"?>
<externalLink xmlns:r="http://schemas.openxmlformats.org/officeDocument/2006/relationships" xmlns="http://schemas.openxmlformats.org/spreadsheetml/2006/main">
  <externalBook r:id="rId1">
    <sheetNames>
      <sheetName val="Добыча нефти4"/>
      <sheetName val="поставка сравн13"/>
      <sheetName val="Параметры"/>
      <sheetName val="Титул1"/>
      <sheetName val="ОснПок2"/>
      <sheetName val="Производство3"/>
      <sheetName val="ПроизвПрогр5"/>
      <sheetName val="АнТрнНефт5_1"/>
      <sheetName val="АнУМГ6"/>
      <sheetName val="АнЭмба7"/>
      <sheetName val="АнАНПЗ"/>
      <sheetName val="АНПЗ7_1"/>
      <sheetName val="АНПЗ7_2"/>
      <sheetName val="Продактс"/>
      <sheetName val="Продактс капвл"/>
      <sheetName val="КапВл8"/>
      <sheetName val="КапСтроит9"/>
      <sheetName val="СтрСоцНазн10"/>
      <sheetName val="Маркетинг12"/>
      <sheetName val="цены14"/>
      <sheetName val="ЦеныНефтепрод15"/>
      <sheetName val="цены16"/>
      <sheetName val="Доход17"/>
      <sheetName val="Чдоход18"/>
      <sheetName val="Капвл.всего"/>
      <sheetName val="ПлатВбюджет19"/>
      <sheetName val="ДебКр20"/>
      <sheetName val="ДвДенСредств21"/>
      <sheetName val="Инв Прог22"/>
      <sheetName val="Все пок23_24"/>
      <sheetName val="Лист3"/>
      <sheetName val="Расчет2000Прямой"/>
      <sheetName val="топливо"/>
      <sheetName val="Потребители"/>
      <sheetName val="Форма2"/>
      <sheetName val="Осн"/>
      <sheetName val="План закупок"/>
      <sheetName val="Командировочные расходы"/>
      <sheetName val="Ввод"/>
      <sheetName val="ОборБалФормОтч"/>
      <sheetName val="  2.3.2"/>
      <sheetName val="12 из 57 АЗС"/>
      <sheetName val="0. Данные"/>
      <sheetName val="MS"/>
      <sheetName val="точн2"/>
      <sheetName val="МО 0012"/>
      <sheetName val="из сем"/>
      <sheetName val="цены"/>
      <sheetName val="аренда цс"/>
      <sheetName val="Лист1"/>
      <sheetName val="name"/>
      <sheetName val="справка"/>
      <sheetName val="пр 6 дох"/>
      <sheetName val="KTG_m"/>
      <sheetName val="СПгнг"/>
      <sheetName val="мат расходы"/>
      <sheetName val="ОХР"/>
      <sheetName val="6 NK"/>
      <sheetName val="Налоги на транспорт"/>
      <sheetName val="Sheet1"/>
      <sheetName val="#ССЫЛКА"/>
      <sheetName val="Форма1"/>
      <sheetName val="Январь"/>
      <sheetName val="UNITPRICES"/>
      <sheetName val="Info"/>
      <sheetName val="Счет-ф"/>
      <sheetName val="Sheet3"/>
      <sheetName val="Sheet4"/>
      <sheetName val="всп"/>
      <sheetName val="ДБСП_02_ 2002"/>
      <sheetName val="свод2010г по гр."/>
      <sheetName val="по 2007 году план на 2008 год"/>
      <sheetName val="Movements"/>
      <sheetName val="1БО"/>
      <sheetName val="EVA"/>
      <sheetName val="коэфф"/>
      <sheetName val="2БК"/>
      <sheetName val="3БО"/>
      <sheetName val="Свод"/>
      <sheetName val="Исход"/>
      <sheetName val="3БК"/>
      <sheetName val="5П"/>
      <sheetName val="4П"/>
      <sheetName val="WACC"/>
      <sheetName val="д.7.001"/>
      <sheetName val="3БК Инвестиции"/>
      <sheetName val="янв"/>
      <sheetName val="Сдача "/>
      <sheetName val="Статьи затрат"/>
      <sheetName val="14.1.2.2.(Услуги связи)"/>
      <sheetName val="Ф3"/>
      <sheetName val="НДС"/>
      <sheetName val="Income $"/>
      <sheetName val="3.ФОТ"/>
      <sheetName val="Бюдж-тенге"/>
      <sheetName val="ЕдИзм"/>
      <sheetName val="XREF"/>
      <sheetName val="Изменяемые данные"/>
      <sheetName val="Financial ratios А3"/>
      <sheetName val="группа"/>
      <sheetName val="Пр2"/>
      <sheetName val="факт 2005 г."/>
      <sheetName val="balans 3"/>
      <sheetName val="З"/>
      <sheetName val="Ден потоки"/>
      <sheetName val="00"/>
      <sheetName val="1.411.1"/>
      <sheetName val="ОТиТБ"/>
      <sheetName val="Hidden"/>
      <sheetName val="Haul cons"/>
      <sheetName val="Распределение прибыли"/>
      <sheetName val="ДС МЗК"/>
      <sheetName val="Текущие цены"/>
      <sheetName val="рабочий"/>
      <sheetName val="окраска"/>
      <sheetName val="расчет прибыли"/>
      <sheetName val="амортиз_ввод"/>
      <sheetName val="ГПЗ_ПОСД_Способ закупок"/>
      <sheetName val="ремонт 25"/>
      <sheetName val="ФС-75"/>
      <sheetName val="ФСМн "/>
      <sheetName val="ФХ "/>
      <sheetName val="ФХС-40 "/>
      <sheetName val="ФХС-48 "/>
      <sheetName val="summary"/>
      <sheetName val="1 вариант  2009 "/>
      <sheetName val="База"/>
      <sheetName val="Settings"/>
    </sheetNames>
    <sheetDataSet>
      <sheetData sheetId="0" refreshError="1"/>
      <sheetData sheetId="1" refreshError="1">
        <row r="1">
          <cell r="G1" t="str">
            <v> </v>
          </cell>
        </row>
        <row r="3">
          <cell r="G3" t="str">
            <v>Янв</v>
          </cell>
          <cell r="H3" t="str">
            <v>Фев</v>
          </cell>
          <cell r="I3" t="str">
            <v>Мар</v>
          </cell>
          <cell r="J3" t="str">
            <v>Апр</v>
          </cell>
          <cell r="K3" t="str">
            <v>Май</v>
          </cell>
          <cell r="L3" t="str">
            <v>Июн</v>
          </cell>
          <cell r="M3" t="str">
            <v>Июл</v>
          </cell>
          <cell r="N3" t="str">
            <v>Авг</v>
          </cell>
          <cell r="O3" t="str">
            <v>Сен</v>
          </cell>
          <cell r="P3" t="str">
            <v>Окт</v>
          </cell>
          <cell r="Q3" t="str">
            <v>Ноя</v>
          </cell>
        </row>
        <row r="4">
          <cell r="D4" t="str">
            <v xml:space="preserve">Поставка.  Февраль 2002  </v>
          </cell>
          <cell r="G4">
            <v>551.85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D5" t="str">
            <v>ОАО «Казахойл-Эмба»</v>
          </cell>
          <cell r="G5">
            <v>198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D6" t="str">
            <v>ОАО «Узеньмунайгаз»</v>
          </cell>
          <cell r="G6">
            <v>353.85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D7" t="str">
            <v>Дальнее зарубежье</v>
          </cell>
          <cell r="G7">
            <v>306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B8" t="str">
            <v>Внутренний рынок</v>
          </cell>
          <cell r="C8" t="str">
            <v>2001</v>
          </cell>
          <cell r="D8" t="str">
            <v>ОАО «Казахойл-Эмба»</v>
          </cell>
          <cell r="G8">
            <v>110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B9" t="str">
            <v>Внутренний рынок</v>
          </cell>
          <cell r="C9" t="str">
            <v>2001</v>
          </cell>
          <cell r="D9" t="str">
            <v>ОАО «Узеньмунайгаз»</v>
          </cell>
          <cell r="G9">
            <v>196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D10" t="str">
            <v>Ближнее зарубежье</v>
          </cell>
          <cell r="G10">
            <v>110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B11" t="str">
            <v>Роялти</v>
          </cell>
          <cell r="C11" t="str">
            <v>2000</v>
          </cell>
          <cell r="D11" t="str">
            <v>ОАО «Казахойл-Эмба»</v>
          </cell>
          <cell r="G11">
            <v>40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B12" t="str">
            <v>Роялти</v>
          </cell>
          <cell r="C12" t="str">
            <v>2000</v>
          </cell>
          <cell r="D12" t="str">
            <v>ОАО «Узеньмунайгаз»</v>
          </cell>
          <cell r="G12">
            <v>70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D13" t="str">
            <v>Внутренний рынок</v>
          </cell>
          <cell r="G13">
            <v>135.85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B14" t="str">
            <v>Ближнее зарубежье</v>
          </cell>
          <cell r="C14" t="str">
            <v>2001</v>
          </cell>
          <cell r="D14" t="str">
            <v>ОАО «Казахойл-Эмба»</v>
          </cell>
          <cell r="G14">
            <v>48</v>
          </cell>
          <cell r="I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B15" t="str">
            <v>Ближнее зарубежье</v>
          </cell>
          <cell r="C15" t="str">
            <v>2001</v>
          </cell>
          <cell r="D15" t="str">
            <v>ОАО «Узеньмунайгаз»</v>
          </cell>
          <cell r="G15">
            <v>87.85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9">
          <cell r="D19" t="str">
            <v>Поставка.  Февраль 2001</v>
          </cell>
          <cell r="G19">
            <v>530.22900000000004</v>
          </cell>
          <cell r="H19">
            <v>440.24</v>
          </cell>
          <cell r="I19">
            <v>504.346</v>
          </cell>
          <cell r="J19">
            <v>533.75099999999998</v>
          </cell>
          <cell r="K19">
            <v>573.78700000000003</v>
          </cell>
          <cell r="L19">
            <v>583.68299999999999</v>
          </cell>
          <cell r="M19">
            <v>576.55399999999997</v>
          </cell>
          <cell r="N19">
            <v>568.78</v>
          </cell>
          <cell r="O19">
            <v>581.298</v>
          </cell>
          <cell r="P19">
            <v>559.25800000000004</v>
          </cell>
          <cell r="Q19">
            <v>495.1</v>
          </cell>
        </row>
        <row r="20">
          <cell r="D20" t="str">
            <v>ОАО «Казахойл-Эмба»</v>
          </cell>
          <cell r="G20">
            <v>186.459</v>
          </cell>
          <cell r="H20">
            <v>163.54</v>
          </cell>
          <cell r="I20">
            <v>194.79599999999999</v>
          </cell>
          <cell r="J20">
            <v>202.03899999999999</v>
          </cell>
          <cell r="K20">
            <v>202.577</v>
          </cell>
          <cell r="L20">
            <v>215.453</v>
          </cell>
          <cell r="M20">
            <v>205.36399999999998</v>
          </cell>
          <cell r="N20">
            <v>216.17000000000002</v>
          </cell>
          <cell r="O20">
            <v>215.66800000000001</v>
          </cell>
          <cell r="P20">
            <v>203.358</v>
          </cell>
          <cell r="Q20">
            <v>187.84100000000001</v>
          </cell>
        </row>
        <row r="21">
          <cell r="D21" t="str">
            <v>ОАО «Узеньмунайгаз»</v>
          </cell>
          <cell r="G21">
            <v>343.77</v>
          </cell>
          <cell r="H21">
            <v>276.7</v>
          </cell>
          <cell r="I21">
            <v>309.55</v>
          </cell>
          <cell r="J21">
            <v>331.71199999999999</v>
          </cell>
          <cell r="K21">
            <v>371.21</v>
          </cell>
          <cell r="L21">
            <v>368.23</v>
          </cell>
          <cell r="M21">
            <v>371.19</v>
          </cell>
          <cell r="N21">
            <v>352.61</v>
          </cell>
          <cell r="O21">
            <v>365.63</v>
          </cell>
          <cell r="P21">
            <v>355.9</v>
          </cell>
          <cell r="Q21">
            <v>303</v>
          </cell>
        </row>
        <row r="22">
          <cell r="D22" t="str">
            <v>Дальнее зарубежье</v>
          </cell>
          <cell r="G22">
            <v>245.898</v>
          </cell>
          <cell r="H22">
            <v>164.904</v>
          </cell>
          <cell r="I22">
            <v>202.20499999999998</v>
          </cell>
          <cell r="J22">
            <v>210.845</v>
          </cell>
          <cell r="K22">
            <v>280.88499999999999</v>
          </cell>
          <cell r="L22">
            <v>262.38200000000001</v>
          </cell>
          <cell r="M22">
            <v>249.34399999999999</v>
          </cell>
          <cell r="N22">
            <v>213.946</v>
          </cell>
          <cell r="O22">
            <v>221.94299999999998</v>
          </cell>
          <cell r="P22">
            <v>240.88200000000001</v>
          </cell>
          <cell r="Q22">
            <v>195.934</v>
          </cell>
        </row>
        <row r="23">
          <cell r="B23" t="str">
            <v>Дальнее зарубежье</v>
          </cell>
          <cell r="C23" t="str">
            <v>2000</v>
          </cell>
          <cell r="D23" t="str">
            <v>ОАО «Казахойл-Эмба»</v>
          </cell>
          <cell r="G23">
            <v>85.897999999999996</v>
          </cell>
          <cell r="H23">
            <v>57.904000000000003</v>
          </cell>
          <cell r="I23">
            <v>87.204999999999998</v>
          </cell>
          <cell r="J23">
            <v>75.844999999999999</v>
          </cell>
          <cell r="K23">
            <v>85.885000000000005</v>
          </cell>
          <cell r="L23">
            <v>95.882000000000005</v>
          </cell>
          <cell r="M23">
            <v>88.843999999999994</v>
          </cell>
          <cell r="N23">
            <v>78.945999999999998</v>
          </cell>
          <cell r="O23">
            <v>75.942999999999998</v>
          </cell>
          <cell r="P23">
            <v>75.882000000000005</v>
          </cell>
          <cell r="Q23">
            <v>65.933999999999997</v>
          </cell>
        </row>
        <row r="24">
          <cell r="B24" t="str">
            <v>Дальнее зарубежье</v>
          </cell>
          <cell r="C24" t="str">
            <v>2000</v>
          </cell>
          <cell r="D24" t="str">
            <v>ОАО «Узеньмунайгаз»</v>
          </cell>
          <cell r="G24">
            <v>160</v>
          </cell>
          <cell r="H24">
            <v>107</v>
          </cell>
          <cell r="I24">
            <v>115</v>
          </cell>
          <cell r="J24">
            <v>135</v>
          </cell>
          <cell r="K24">
            <v>195</v>
          </cell>
          <cell r="L24">
            <v>166.5</v>
          </cell>
          <cell r="M24">
            <v>160.5</v>
          </cell>
          <cell r="N24">
            <v>135</v>
          </cell>
          <cell r="O24">
            <v>146</v>
          </cell>
          <cell r="P24">
            <v>165</v>
          </cell>
          <cell r="Q24">
            <v>130</v>
          </cell>
        </row>
        <row r="25">
          <cell r="D25" t="str">
            <v>Ближнее зарубежье</v>
          </cell>
          <cell r="G25">
            <v>100</v>
          </cell>
          <cell r="H25">
            <v>100</v>
          </cell>
          <cell r="I25">
            <v>100</v>
          </cell>
          <cell r="J25">
            <v>145</v>
          </cell>
          <cell r="K25">
            <v>145</v>
          </cell>
          <cell r="L25">
            <v>145</v>
          </cell>
          <cell r="M25">
            <v>145</v>
          </cell>
          <cell r="N25">
            <v>145</v>
          </cell>
          <cell r="O25">
            <v>145</v>
          </cell>
          <cell r="P25">
            <v>145</v>
          </cell>
          <cell r="Q25">
            <v>145</v>
          </cell>
        </row>
        <row r="26">
          <cell r="B26" t="str">
            <v>Ближнее зарубежье</v>
          </cell>
          <cell r="C26" t="str">
            <v>2000</v>
          </cell>
          <cell r="D26" t="str">
            <v>ОАО «Казахойл-Эмба»</v>
          </cell>
          <cell r="G26">
            <v>35</v>
          </cell>
          <cell r="H26">
            <v>32</v>
          </cell>
          <cell r="I26">
            <v>33</v>
          </cell>
          <cell r="J26">
            <v>50</v>
          </cell>
          <cell r="K26">
            <v>45</v>
          </cell>
          <cell r="L26">
            <v>45</v>
          </cell>
          <cell r="M26">
            <v>45</v>
          </cell>
          <cell r="N26">
            <v>45</v>
          </cell>
          <cell r="O26">
            <v>45</v>
          </cell>
          <cell r="P26">
            <v>45</v>
          </cell>
          <cell r="Q26">
            <v>45</v>
          </cell>
        </row>
        <row r="27">
          <cell r="B27" t="str">
            <v>Ближнее зарубежье</v>
          </cell>
          <cell r="C27" t="str">
            <v>2000</v>
          </cell>
          <cell r="D27" t="str">
            <v>ОАО «Узеньмунайгаз»</v>
          </cell>
          <cell r="G27">
            <v>65</v>
          </cell>
          <cell r="H27">
            <v>68</v>
          </cell>
          <cell r="I27">
            <v>67</v>
          </cell>
          <cell r="J27">
            <v>95</v>
          </cell>
          <cell r="K27">
            <v>100</v>
          </cell>
          <cell r="L27">
            <v>100</v>
          </cell>
          <cell r="M27">
            <v>100</v>
          </cell>
          <cell r="N27">
            <v>100</v>
          </cell>
          <cell r="O27">
            <v>100</v>
          </cell>
          <cell r="P27">
            <v>100</v>
          </cell>
          <cell r="Q27">
            <v>100</v>
          </cell>
        </row>
        <row r="28">
          <cell r="D28" t="str">
            <v>Внутренний рынок</v>
          </cell>
          <cell r="G28">
            <v>184.33100000000002</v>
          </cell>
          <cell r="H28">
            <v>175.33600000000001</v>
          </cell>
          <cell r="I28">
            <v>202.14099999999999</v>
          </cell>
          <cell r="J28">
            <v>177.90600000000001</v>
          </cell>
          <cell r="K28">
            <v>147.90199999999999</v>
          </cell>
          <cell r="L28">
            <v>176.30099999999999</v>
          </cell>
          <cell r="M28">
            <v>182.20999999999998</v>
          </cell>
          <cell r="N28">
            <v>209.834</v>
          </cell>
          <cell r="O28">
            <v>214.35499999999999</v>
          </cell>
          <cell r="P28">
            <v>173.376</v>
          </cell>
          <cell r="Q28">
            <v>149.90699999999998</v>
          </cell>
        </row>
        <row r="29">
          <cell r="B29" t="str">
            <v>Внутренний рынок</v>
          </cell>
          <cell r="C29" t="str">
            <v>2000</v>
          </cell>
          <cell r="D29" t="str">
            <v>ОАО «Казахойл-Эмба»</v>
          </cell>
          <cell r="G29">
            <v>65.561000000000007</v>
          </cell>
          <cell r="H29">
            <v>73.635999999999996</v>
          </cell>
          <cell r="I29">
            <v>74.590999999999994</v>
          </cell>
          <cell r="J29">
            <v>76.194000000000003</v>
          </cell>
          <cell r="K29">
            <v>71.691999999999993</v>
          </cell>
          <cell r="L29">
            <v>74.570999999999998</v>
          </cell>
          <cell r="M29">
            <v>71.52</v>
          </cell>
          <cell r="N29">
            <v>92.224000000000004</v>
          </cell>
          <cell r="O29">
            <v>94.724999999999994</v>
          </cell>
          <cell r="P29">
            <v>82.475999999999999</v>
          </cell>
          <cell r="Q29">
            <v>76.906999999999996</v>
          </cell>
        </row>
        <row r="30">
          <cell r="B30" t="str">
            <v>Внутренний рынок</v>
          </cell>
          <cell r="C30" t="str">
            <v>2000</v>
          </cell>
          <cell r="D30" t="str">
            <v>ОАО «Узеньмунайгаз»</v>
          </cell>
          <cell r="G30">
            <v>118.77</v>
          </cell>
          <cell r="H30">
            <v>101.7</v>
          </cell>
          <cell r="I30">
            <v>127.55</v>
          </cell>
          <cell r="J30">
            <v>101.712</v>
          </cell>
          <cell r="K30">
            <v>76.209999999999994</v>
          </cell>
          <cell r="L30">
            <v>101.73</v>
          </cell>
          <cell r="M30">
            <v>110.69</v>
          </cell>
          <cell r="N30">
            <v>117.61</v>
          </cell>
          <cell r="O30">
            <v>119.63</v>
          </cell>
          <cell r="P30">
            <v>90.9</v>
          </cell>
          <cell r="Q30">
            <v>73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45.xml><?xml version="1.0" encoding="utf-8"?>
<externalLink xmlns:r="http://schemas.openxmlformats.org/officeDocument/2006/relationships" xmlns="http://schemas.openxmlformats.org/spreadsheetml/2006/main">
  <externalBook r:id="rId1">
    <sheetNames>
      <sheetName val="Параметры"/>
      <sheetName val="Производство и сбыт"/>
      <sheetName val="Персонал"/>
      <sheetName val="Амортизация"/>
      <sheetName val="Приобретение ОС"/>
      <sheetName val="Временные расходы"/>
      <sheetName val="Пост расходы"/>
      <sheetName val="График"/>
      <sheetName val="Прямые затраты"/>
      <sheetName val="ГСМ Налоги"/>
      <sheetName val="Адмрасходы"/>
      <sheetName val="NPV"/>
      <sheetName val="ОПиУ"/>
      <sheetName val="ОДДС"/>
      <sheetName val="Баланс"/>
      <sheetName val="Эффективность"/>
    </sheetNames>
    <sheetDataSet>
      <sheetData sheetId="0" refreshError="1">
        <row r="18">
          <cell r="C18">
            <v>121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:r="http://schemas.openxmlformats.org/officeDocument/2006/relationships" xmlns="http://schemas.openxmlformats.org/spreadsheetml/2006/main">
  <externalBook r:id="rId1">
    <sheetNames>
      <sheetName val="пост. пар."/>
      <sheetName val="ф-ма2"/>
      <sheetName val="ф-ма3 с НДС"/>
      <sheetName val="Гр стр №"/>
      <sheetName val="КП"/>
      <sheetName val="кредит"/>
      <sheetName val="оборуд.1"/>
      <sheetName val="Расчет фонда опл. с 01.07.07 №1"/>
      <sheetName val="ГСМ №2"/>
      <sheetName val="Аренда №3"/>
      <sheetName val="Команд.№4"/>
      <sheetName val="Связь№5"/>
      <sheetName val="Банк№6"/>
      <sheetName val="платежи в бюджет №7"/>
      <sheetName val="прочие ОАР №8"/>
      <sheetName val="Приобретение ОС №9"/>
      <sheetName val="Амортизация №10"/>
      <sheetName val="налог на имущ.№11"/>
      <sheetName val="Охрана №12"/>
      <sheetName val="оборуд."/>
    </sheetNames>
    <sheetDataSet>
      <sheetData sheetId="0" refreshError="1">
        <row r="8">
          <cell r="C8">
            <v>4.8150000000000004</v>
          </cell>
        </row>
        <row r="13">
          <cell r="C13">
            <v>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:r="http://schemas.openxmlformats.org/officeDocument/2006/relationships" xmlns="http://schemas.openxmlformats.org/spreadsheetml/2006/main">
  <externalBook r:id="rId1">
    <sheetNames>
      <sheetName val="Допущения"/>
    </sheetNames>
    <sheetDataSet>
      <sheetData sheetId="0" refreshError="1"/>
    </sheetDataSet>
  </externalBook>
</externalLink>
</file>

<file path=xl/externalLinks/externalLink48.xml><?xml version="1.0" encoding="utf-8"?>
<externalLink xmlns:r="http://schemas.openxmlformats.org/officeDocument/2006/relationships" xmlns="http://schemas.openxmlformats.org/spreadsheetml/2006/main">
  <externalBook r:id="rId1">
    <sheetNames>
      <sheetName val="ОтырарПлощадьОПиФА"/>
      <sheetName val="ОтырарПлощадьОПродаж"/>
      <sheetName val="объекты общества"/>
      <sheetName val="ОбъектыОбществаПрочиеХвосты"/>
      <sheetName val="ПрочиеОбъектыХвосты"/>
      <sheetName val="объекты обществаКокшетау"/>
      <sheetName val="БалансСебест"/>
      <sheetName val="РеализацияБухгалтерия"/>
      <sheetName val="Штуки"/>
      <sheetName val="Стоимость"/>
      <sheetName val="Поступления"/>
      <sheetName val="ВозвратДебиторки"/>
      <sheetName val="Итого Потоки"/>
      <sheetName val="Цен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49.xml><?xml version="1.0" encoding="utf-8"?>
<externalLink xmlns:r="http://schemas.openxmlformats.org/officeDocument/2006/relationships" xmlns="http://schemas.openxmlformats.org/spreadsheetml/2006/main">
  <externalBook r:id="rId1">
    <sheetNames>
      <sheetName val="ОтырарПлощадьОПиФА"/>
      <sheetName val="ОтырарПлощадьОПродаж"/>
      <sheetName val="объекты общества"/>
      <sheetName val="ОбъектыОбществаПрочиеХвосты"/>
      <sheetName val="ПрочиеОбъектыХвосты"/>
      <sheetName val="объекты обществаКокшетау"/>
      <sheetName val="БалансСебест"/>
      <sheetName val="РеализацияБухгалтерия"/>
      <sheetName val="Штуки"/>
      <sheetName val="Стоимость"/>
      <sheetName val="Поступления"/>
      <sheetName val="ВозвратДебиторки"/>
      <sheetName val="Итого Потоки"/>
      <sheetName val="Цен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50.xml><?xml version="1.0" encoding="utf-8"?>
<externalLink xmlns:r="http://schemas.openxmlformats.org/officeDocument/2006/relationships" xmlns="http://schemas.openxmlformats.org/spreadsheetml/2006/main">
  <externalBook r:id="rId1">
    <sheetNames>
      <sheetName val="Исх"/>
      <sheetName val="ДДС_без 4,5"/>
      <sheetName val="ф3"/>
      <sheetName val="ф2"/>
      <sheetName val="кр"/>
      <sheetName val="Натур пок-ли"/>
    </sheetNames>
    <sheetDataSet>
      <sheetData sheetId="0">
        <row r="7">
          <cell r="C7">
            <v>0.18</v>
          </cell>
        </row>
        <row r="8">
          <cell r="C8">
            <v>1.18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1.xml><?xml version="1.0" encoding="utf-8"?>
<externalLink xmlns:r="http://schemas.openxmlformats.org/officeDocument/2006/relationships" xmlns="http://schemas.openxmlformats.org/spreadsheetml/2006/main">
  <externalBook r:id="rId1">
    <sheetNames>
      <sheetName val="Общ_Д"/>
      <sheetName val="Дох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:r="http://schemas.openxmlformats.org/officeDocument/2006/relationships" xmlns="http://schemas.openxmlformats.org/spreadsheetml/2006/main">
  <externalBook r:id="rId1">
    <sheetNames>
      <sheetName val="Приобретение О.С."/>
      <sheetName val="Перем. затраты"/>
    </sheet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:r="http://schemas.openxmlformats.org/officeDocument/2006/relationships" xmlns="http://schemas.openxmlformats.org/spreadsheetml/2006/main">
  <externalBook r:id="rId1">
    <sheetNames>
      <sheetName val="курсы"/>
      <sheetName val="БТА"/>
      <sheetName val="ККБ"/>
      <sheetName val="год"/>
      <sheetName val="деньги"/>
      <sheetName val="объекты общества"/>
      <sheetName val="расторжения"/>
      <sheetName val="констан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F2" t="str">
            <v>4 башни (п1)</v>
          </cell>
          <cell r="G2">
            <v>131000</v>
          </cell>
        </row>
        <row r="3">
          <cell r="F3" t="str">
            <v>4 башни (п2)</v>
          </cell>
          <cell r="G3">
            <v>131700</v>
          </cell>
        </row>
        <row r="4">
          <cell r="F4" t="str">
            <v>VIP</v>
          </cell>
          <cell r="G4">
            <v>69300</v>
          </cell>
        </row>
        <row r="5">
          <cell r="F5" t="str">
            <v>Абая</v>
          </cell>
          <cell r="G5">
            <v>107700</v>
          </cell>
        </row>
        <row r="6">
          <cell r="F6" t="str">
            <v>аблайхана квартиры</v>
          </cell>
          <cell r="G6">
            <v>78000</v>
          </cell>
        </row>
        <row r="7">
          <cell r="F7" t="str">
            <v>алтын-орда квартиры</v>
          </cell>
          <cell r="G7">
            <v>150300</v>
          </cell>
        </row>
        <row r="8">
          <cell r="F8" t="str">
            <v>алтын-орда офисы</v>
          </cell>
          <cell r="G8">
            <v>109400</v>
          </cell>
        </row>
        <row r="9">
          <cell r="F9" t="str">
            <v>бабочка</v>
          </cell>
          <cell r="G9">
            <v>82900</v>
          </cell>
        </row>
        <row r="10">
          <cell r="F10" t="str">
            <v>бараева</v>
          </cell>
          <cell r="G10">
            <v>61000</v>
          </cell>
        </row>
        <row r="11">
          <cell r="F11" t="str">
            <v>бараева2оч</v>
          </cell>
          <cell r="G11">
            <v>100467</v>
          </cell>
        </row>
        <row r="12">
          <cell r="F12" t="str">
            <v>бигельдинова квартиры</v>
          </cell>
          <cell r="G12">
            <v>137700</v>
          </cell>
        </row>
        <row r="13">
          <cell r="F13" t="str">
            <v>бигельдинова офисы</v>
          </cell>
          <cell r="G13">
            <v>162100</v>
          </cell>
        </row>
        <row r="14">
          <cell r="F14" t="str">
            <v>встр.Им.нечет.</v>
          </cell>
          <cell r="G14">
            <v>143400</v>
          </cell>
        </row>
        <row r="15">
          <cell r="A15">
            <v>130</v>
          </cell>
          <cell r="F15" t="str">
            <v>евразия</v>
          </cell>
          <cell r="G15">
            <v>69600</v>
          </cell>
        </row>
        <row r="16">
          <cell r="F16" t="str">
            <v>иманова гаражи</v>
          </cell>
          <cell r="G16">
            <v>38600</v>
          </cell>
        </row>
        <row r="17">
          <cell r="F17" t="str">
            <v>иманова квартиры</v>
          </cell>
          <cell r="G17">
            <v>64000</v>
          </cell>
        </row>
        <row r="18">
          <cell r="F18" t="str">
            <v>иманова коттеджи</v>
          </cell>
          <cell r="G18">
            <v>69200</v>
          </cell>
        </row>
        <row r="19">
          <cell r="F19" t="str">
            <v>Иманова неч. квартиры</v>
          </cell>
          <cell r="G19">
            <v>118200</v>
          </cell>
        </row>
        <row r="20">
          <cell r="F20" t="str">
            <v>иманова офисы</v>
          </cell>
          <cell r="G20">
            <v>77000</v>
          </cell>
        </row>
        <row r="21">
          <cell r="F21" t="str">
            <v>им-респ квартиры</v>
          </cell>
          <cell r="G21">
            <v>80100</v>
          </cell>
        </row>
        <row r="22">
          <cell r="F22" t="str">
            <v>им-респ офисы</v>
          </cell>
          <cell r="G22">
            <v>55000</v>
          </cell>
        </row>
        <row r="23">
          <cell r="F23" t="str">
            <v>кенесары квартиры</v>
          </cell>
          <cell r="G23">
            <v>84500</v>
          </cell>
        </row>
        <row r="24">
          <cell r="F24" t="str">
            <v>кенесары офисы</v>
          </cell>
          <cell r="G24">
            <v>84500</v>
          </cell>
        </row>
        <row r="25">
          <cell r="F25" t="str">
            <v>Набережная</v>
          </cell>
          <cell r="G25">
            <v>81000</v>
          </cell>
        </row>
        <row r="26">
          <cell r="F26" t="str">
            <v>отрар</v>
          </cell>
          <cell r="G26">
            <v>189900</v>
          </cell>
        </row>
        <row r="27">
          <cell r="F27" t="str">
            <v>офисы абая</v>
          </cell>
          <cell r="G27">
            <v>90000</v>
          </cell>
        </row>
        <row r="28">
          <cell r="F28" t="str">
            <v>чубары гаражи</v>
          </cell>
          <cell r="G28">
            <v>48800</v>
          </cell>
        </row>
        <row r="29">
          <cell r="F29" t="str">
            <v>чубары квартиры</v>
          </cell>
          <cell r="G29">
            <v>81900</v>
          </cell>
        </row>
        <row r="30">
          <cell r="F30" t="str">
            <v>чубары офисы</v>
          </cell>
          <cell r="G30">
            <v>77200</v>
          </cell>
        </row>
      </sheetData>
    </sheetDataSet>
  </externalBook>
</externalLink>
</file>

<file path=xl/externalLinks/externalLink54.xml><?xml version="1.0" encoding="utf-8"?>
<externalLink xmlns:r="http://schemas.openxmlformats.org/officeDocument/2006/relationships" xmlns="http://schemas.openxmlformats.org/spreadsheetml/2006/main">
  <externalBook r:id="rId1">
    <sheetNames>
      <sheetName val="Финпоки1"/>
    </sheetNames>
    <sheetDataSet>
      <sheetData sheetId="0" refreshError="1"/>
    </sheetDataSet>
  </externalBook>
</externalLink>
</file>

<file path=xl/externalLinks/externalLink55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Себестоимость"/>
      <sheetName val="General BUDJET"/>
      <sheetName val="Statment"/>
      <sheetName val="Statment (без кредита)"/>
      <sheetName val="профицит-дефицит"/>
      <sheetName val="%обор."/>
      <sheetName val="Кредиты"/>
      <sheetName val="Расходы по открытию"/>
      <sheetName val="НДС"/>
      <sheetName val="Продажи"/>
      <sheetName val="Добыча нефти4"/>
      <sheetName val="поставка сравн13"/>
      <sheetName val="Параметры"/>
      <sheetName val="объекты обществаКокшетау"/>
      <sheetName val="Финпоки1"/>
      <sheetName val="пост. пар."/>
    </sheetNames>
    <sheetDataSet>
      <sheetData sheetId="0" refreshError="1">
        <row r="15">
          <cell r="D15" t="str">
            <v>office</v>
          </cell>
        </row>
        <row r="16">
          <cell r="D16" t="str">
            <v>mDK</v>
          </cell>
        </row>
        <row r="17">
          <cell r="D17" t="str">
            <v>mGO</v>
          </cell>
        </row>
        <row r="18">
          <cell r="D18" t="str">
            <v>mSH</v>
          </cell>
        </row>
        <row r="19">
          <cell r="D19" t="str">
            <v>mAL</v>
          </cell>
        </row>
        <row r="20">
          <cell r="D20" t="str">
            <v>mMX</v>
          </cell>
        </row>
        <row r="21">
          <cell r="D21" t="str">
            <v>mJJ</v>
          </cell>
        </row>
        <row r="22">
          <cell r="D22" t="str">
            <v>mAZ</v>
          </cell>
        </row>
        <row r="23">
          <cell r="D23" t="str">
            <v>mLM</v>
          </cell>
        </row>
        <row r="24">
          <cell r="D24" t="str">
            <v>mDJ</v>
          </cell>
        </row>
        <row r="25">
          <cell r="D25" t="str">
            <v>mOA</v>
          </cell>
        </row>
        <row r="26">
          <cell r="D26" t="str">
            <v>mSP</v>
          </cell>
        </row>
        <row r="27">
          <cell r="D27" t="str">
            <v>mSN</v>
          </cell>
        </row>
        <row r="28">
          <cell r="D28" t="str">
            <v>mAHSH</v>
          </cell>
        </row>
        <row r="29">
          <cell r="D29" t="str">
            <v>mAA</v>
          </cell>
        </row>
        <row r="30">
          <cell r="D30" t="str">
            <v>mAU</v>
          </cell>
        </row>
        <row r="31">
          <cell r="D31" t="str">
            <v>mUK</v>
          </cell>
        </row>
        <row r="32">
          <cell r="D32" t="str">
            <v>mKA</v>
          </cell>
        </row>
        <row r="33">
          <cell r="D33" t="str">
            <v>mSF</v>
          </cell>
        </row>
        <row r="34">
          <cell r="D34" t="str">
            <v>m19</v>
          </cell>
        </row>
        <row r="35">
          <cell r="D35" t="str">
            <v>m20</v>
          </cell>
        </row>
        <row r="36">
          <cell r="D36" t="str">
            <v>m21</v>
          </cell>
        </row>
        <row r="37">
          <cell r="D37" t="str">
            <v>m22</v>
          </cell>
        </row>
        <row r="38">
          <cell r="D38" t="str">
            <v>m23</v>
          </cell>
        </row>
        <row r="39">
          <cell r="D39" t="str">
            <v>m24</v>
          </cell>
        </row>
        <row r="40">
          <cell r="D40" t="str">
            <v>m25</v>
          </cell>
        </row>
        <row r="41">
          <cell r="D41" t="str">
            <v>m26</v>
          </cell>
        </row>
        <row r="42">
          <cell r="D42" t="str">
            <v>m27</v>
          </cell>
        </row>
        <row r="43">
          <cell r="D43" t="str">
            <v>m28</v>
          </cell>
        </row>
        <row r="44">
          <cell r="D44" t="str">
            <v>m29</v>
          </cell>
        </row>
        <row r="45">
          <cell r="D45" t="str">
            <v>m30</v>
          </cell>
        </row>
        <row r="46">
          <cell r="D46" t="str">
            <v>m31</v>
          </cell>
        </row>
        <row r="47">
          <cell r="D47" t="str">
            <v>m32</v>
          </cell>
        </row>
        <row r="48">
          <cell r="D48" t="str">
            <v>m33</v>
          </cell>
        </row>
        <row r="49">
          <cell r="D49" t="str">
            <v>m34</v>
          </cell>
        </row>
        <row r="50">
          <cell r="D50" t="str">
            <v>m35</v>
          </cell>
        </row>
        <row r="51">
          <cell r="D51" t="str">
            <v>m36</v>
          </cell>
        </row>
        <row r="52">
          <cell r="D52" t="str">
            <v>m37</v>
          </cell>
        </row>
        <row r="53">
          <cell r="D53" t="str">
            <v>m38</v>
          </cell>
        </row>
        <row r="54">
          <cell r="D54" t="str">
            <v>m39</v>
          </cell>
        </row>
        <row r="55">
          <cell r="D55" t="str">
            <v>m40</v>
          </cell>
        </row>
        <row r="56">
          <cell r="D56" t="str">
            <v>m41</v>
          </cell>
        </row>
        <row r="57">
          <cell r="D57" t="str">
            <v>m42</v>
          </cell>
        </row>
        <row r="58">
          <cell r="D58" t="str">
            <v>m43</v>
          </cell>
        </row>
        <row r="59">
          <cell r="D59" t="str">
            <v>m44</v>
          </cell>
        </row>
        <row r="60">
          <cell r="D60" t="str">
            <v>m45</v>
          </cell>
        </row>
        <row r="61">
          <cell r="D61" t="str">
            <v>m46</v>
          </cell>
        </row>
        <row r="62">
          <cell r="D62" t="str">
            <v>m47</v>
          </cell>
        </row>
        <row r="63">
          <cell r="D63" t="str">
            <v>m48</v>
          </cell>
        </row>
        <row r="64">
          <cell r="D64" t="str">
            <v>m49</v>
          </cell>
        </row>
        <row r="65">
          <cell r="D65" t="str">
            <v>m50</v>
          </cell>
        </row>
        <row r="66">
          <cell r="D66" t="str">
            <v>m51</v>
          </cell>
        </row>
        <row r="67">
          <cell r="D67" t="str">
            <v>m52</v>
          </cell>
        </row>
        <row r="68">
          <cell r="D68" t="str">
            <v>m53</v>
          </cell>
        </row>
        <row r="69">
          <cell r="D69" t="str">
            <v>m54</v>
          </cell>
        </row>
        <row r="70">
          <cell r="D70" t="str">
            <v>m55</v>
          </cell>
        </row>
        <row r="71">
          <cell r="D71" t="str">
            <v>m56</v>
          </cell>
        </row>
        <row r="72">
          <cell r="D72" t="str">
            <v>m57</v>
          </cell>
        </row>
        <row r="73">
          <cell r="D73" t="str">
            <v>m58</v>
          </cell>
        </row>
        <row r="74">
          <cell r="D74" t="str">
            <v>m59</v>
          </cell>
        </row>
        <row r="75">
          <cell r="D75" t="str">
            <v>m60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:r="http://schemas.openxmlformats.org/officeDocument/2006/relationships" xmlns="http://schemas.openxmlformats.org/spreadsheetml/2006/main">
  <externalBook r:id="rId1">
    <sheetNames>
      <sheetName val="Осн.показ"/>
      <sheetName val="ОС"/>
      <sheetName val="Аморт"/>
      <sheetName val="Налоги"/>
      <sheetName val="Оборотка"/>
      <sheetName val="Пост"/>
      <sheetName val="Перем."/>
      <sheetName val="Штат до ввода"/>
      <sheetName val="Штат пос ввода"/>
      <sheetName val="Оценка"/>
      <sheetName val="кредит"/>
      <sheetName val="График стр."/>
      <sheetName val="ФХД АФ"/>
      <sheetName val="Cash пр"/>
      <sheetName val="IRR NPV"/>
      <sheetName val="Tornado"/>
    </sheetNames>
    <sheetDataSet>
      <sheetData sheetId="0" refreshError="1">
        <row r="6">
          <cell r="C6">
            <v>442.47787610619474</v>
          </cell>
        </row>
        <row r="10">
          <cell r="C10">
            <v>75600</v>
          </cell>
        </row>
        <row r="11">
          <cell r="C11">
            <v>32400</v>
          </cell>
        </row>
        <row r="12">
          <cell r="C12">
            <v>367.08209105484542</v>
          </cell>
        </row>
      </sheetData>
      <sheetData sheetId="1" refreshError="1">
        <row r="27">
          <cell r="D27">
            <v>1022552.6843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:r="http://schemas.openxmlformats.org/officeDocument/2006/relationships" xmlns="http://schemas.openxmlformats.org/spreadsheetml/2006/main">
  <externalBook r:id="rId1">
    <sheetNames>
      <sheetName val="2.Inputs"/>
      <sheetName val="5.CF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:r="http://schemas.openxmlformats.org/officeDocument/2006/relationships" xmlns="http://schemas.openxmlformats.org/spreadsheetml/2006/main">
  <externalBook r:id="rId1">
    <sheetNames>
      <sheetName val="Параметры"/>
      <sheetName val="Производство и сбыт"/>
      <sheetName val="Прямые затраты"/>
      <sheetName val="Персонал"/>
      <sheetName val="ГСМ Налоги"/>
      <sheetName val="Амортизация"/>
      <sheetName val="Приобретение ОС"/>
      <sheetName val="Временные расходы"/>
      <sheetName val="Пост расходы"/>
      <sheetName val="График"/>
      <sheetName val="ОПиУ"/>
      <sheetName val="ОДДС"/>
      <sheetName val="Эффективность"/>
    </sheetNames>
    <sheetDataSet>
      <sheetData sheetId="0">
        <row r="2">
          <cell r="C2">
            <v>218700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9.xml><?xml version="1.0" encoding="utf-8"?>
<externalLink xmlns:r="http://schemas.openxmlformats.org/officeDocument/2006/relationships" xmlns="http://schemas.openxmlformats.org/spreadsheetml/2006/main">
  <externalBook r:id="rId1">
    <sheetNames>
      <sheetName val="Data-in"/>
      <sheetName val="NII"/>
      <sheetName val="Report"/>
      <sheetName val="Balance"/>
      <sheetName val="Results"/>
      <sheetName val="Sensivity"/>
      <sheetName val="Kredit"/>
      <sheetName val="NPV"/>
      <sheetName val="Break-even"/>
      <sheetName val="Liquidity"/>
      <sheetName val="Profitability"/>
      <sheetName val="Activity"/>
      <sheetName val="Assets"/>
      <sheetName val="Sens"/>
      <sheetName val="esn"/>
      <sheetName val="Исх"/>
      <sheetName val="Параметры"/>
      <sheetName val="Общ_Д"/>
      <sheetName val="Дох"/>
    </sheetNames>
    <sheetDataSet>
      <sheetData sheetId="0" refreshError="1">
        <row r="1381">
          <cell r="B1381">
            <v>360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0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Себестоимость"/>
      <sheetName val="General BUDJET"/>
      <sheetName val="Statment"/>
      <sheetName val="Statment (без кредита)"/>
      <sheetName val="профицит-дефицит"/>
      <sheetName val="%обор."/>
      <sheetName val="Кредиты"/>
      <sheetName val="Расходы по открытию"/>
      <sheetName val="НДС"/>
      <sheetName val="Продажи"/>
      <sheetName val="Закуп"/>
      <sheetName val="Приобретение О.С."/>
      <sheetName val="Перем. затраты"/>
      <sheetName val="Исх"/>
      <sheetName val="2-ф2"/>
      <sheetName val="Data-in"/>
      <sheetName val="константы"/>
    </sheetNames>
    <sheetDataSet>
      <sheetData sheetId="0" refreshError="1">
        <row r="15">
          <cell r="D15" t="str">
            <v>office</v>
          </cell>
        </row>
        <row r="16">
          <cell r="D16" t="str">
            <v>mDK</v>
          </cell>
        </row>
        <row r="17">
          <cell r="D17" t="str">
            <v>mGO</v>
          </cell>
        </row>
        <row r="18">
          <cell r="D18" t="str">
            <v>mSH</v>
          </cell>
        </row>
        <row r="19">
          <cell r="D19" t="str">
            <v>mAL</v>
          </cell>
        </row>
        <row r="20">
          <cell r="D20" t="str">
            <v>mMX</v>
          </cell>
        </row>
        <row r="21">
          <cell r="D21" t="str">
            <v>mJJ</v>
          </cell>
        </row>
        <row r="22">
          <cell r="D22" t="str">
            <v>mAZ</v>
          </cell>
        </row>
        <row r="23">
          <cell r="D23" t="str">
            <v>mLM</v>
          </cell>
        </row>
        <row r="24">
          <cell r="D24" t="str">
            <v>mDJ</v>
          </cell>
        </row>
        <row r="25">
          <cell r="D25" t="str">
            <v>mOA</v>
          </cell>
        </row>
        <row r="26">
          <cell r="D26" t="str">
            <v>mSP</v>
          </cell>
        </row>
        <row r="27">
          <cell r="D27" t="str">
            <v>mSN</v>
          </cell>
        </row>
        <row r="28">
          <cell r="D28" t="str">
            <v>mAHSH</v>
          </cell>
        </row>
        <row r="29">
          <cell r="D29" t="str">
            <v>mAA</v>
          </cell>
        </row>
        <row r="30">
          <cell r="D30" t="str">
            <v>mAU</v>
          </cell>
        </row>
        <row r="31">
          <cell r="D31" t="str">
            <v>mUK</v>
          </cell>
        </row>
        <row r="32">
          <cell r="D32" t="str">
            <v>mKA</v>
          </cell>
        </row>
        <row r="33">
          <cell r="D33" t="str">
            <v>mSF</v>
          </cell>
        </row>
        <row r="34">
          <cell r="D34" t="str">
            <v>m19</v>
          </cell>
        </row>
        <row r="35">
          <cell r="D35" t="str">
            <v>m20</v>
          </cell>
        </row>
        <row r="36">
          <cell r="D36" t="str">
            <v>m21</v>
          </cell>
        </row>
        <row r="37">
          <cell r="D37" t="str">
            <v>m22</v>
          </cell>
        </row>
        <row r="38">
          <cell r="D38" t="str">
            <v>m23</v>
          </cell>
        </row>
        <row r="39">
          <cell r="D39" t="str">
            <v>m24</v>
          </cell>
        </row>
        <row r="40">
          <cell r="D40" t="str">
            <v>m25</v>
          </cell>
        </row>
        <row r="41">
          <cell r="D41" t="str">
            <v>m26</v>
          </cell>
        </row>
        <row r="42">
          <cell r="D42" t="str">
            <v>m27</v>
          </cell>
        </row>
        <row r="43">
          <cell r="D43" t="str">
            <v>m28</v>
          </cell>
        </row>
        <row r="44">
          <cell r="D44" t="str">
            <v>m29</v>
          </cell>
        </row>
        <row r="45">
          <cell r="D45" t="str">
            <v>m30</v>
          </cell>
        </row>
        <row r="46">
          <cell r="D46" t="str">
            <v>m31</v>
          </cell>
        </row>
        <row r="47">
          <cell r="D47" t="str">
            <v>m32</v>
          </cell>
        </row>
        <row r="48">
          <cell r="D48" t="str">
            <v>m33</v>
          </cell>
        </row>
        <row r="49">
          <cell r="D49" t="str">
            <v>m34</v>
          </cell>
        </row>
        <row r="50">
          <cell r="D50" t="str">
            <v>m35</v>
          </cell>
        </row>
        <row r="51">
          <cell r="D51" t="str">
            <v>m36</v>
          </cell>
        </row>
        <row r="52">
          <cell r="D52" t="str">
            <v>m37</v>
          </cell>
        </row>
        <row r="53">
          <cell r="D53" t="str">
            <v>m38</v>
          </cell>
        </row>
        <row r="54">
          <cell r="D54" t="str">
            <v>m39</v>
          </cell>
        </row>
        <row r="55">
          <cell r="D55" t="str">
            <v>m40</v>
          </cell>
        </row>
        <row r="56">
          <cell r="D56" t="str">
            <v>m41</v>
          </cell>
        </row>
        <row r="57">
          <cell r="D57" t="str">
            <v>m42</v>
          </cell>
        </row>
        <row r="58">
          <cell r="D58" t="str">
            <v>m43</v>
          </cell>
        </row>
        <row r="59">
          <cell r="D59" t="str">
            <v>m44</v>
          </cell>
        </row>
        <row r="60">
          <cell r="D60" t="str">
            <v>m45</v>
          </cell>
        </row>
        <row r="61">
          <cell r="D61" t="str">
            <v>m46</v>
          </cell>
        </row>
        <row r="62">
          <cell r="D62" t="str">
            <v>m47</v>
          </cell>
        </row>
        <row r="63">
          <cell r="D63" t="str">
            <v>m48</v>
          </cell>
        </row>
        <row r="64">
          <cell r="D64" t="str">
            <v>m49</v>
          </cell>
        </row>
        <row r="65">
          <cell r="D65" t="str">
            <v>m50</v>
          </cell>
        </row>
        <row r="66">
          <cell r="D66" t="str">
            <v>m51</v>
          </cell>
        </row>
        <row r="67">
          <cell r="D67" t="str">
            <v>m52</v>
          </cell>
        </row>
        <row r="68">
          <cell r="D68" t="str">
            <v>m53</v>
          </cell>
        </row>
        <row r="69">
          <cell r="D69" t="str">
            <v>m54</v>
          </cell>
        </row>
        <row r="70">
          <cell r="D70" t="str">
            <v>m55</v>
          </cell>
        </row>
        <row r="71">
          <cell r="D71" t="str">
            <v>m56</v>
          </cell>
        </row>
        <row r="72">
          <cell r="D72" t="str">
            <v>m57</v>
          </cell>
        </row>
        <row r="73">
          <cell r="D73" t="str">
            <v>m58</v>
          </cell>
        </row>
        <row r="74">
          <cell r="D74" t="str">
            <v>m59</v>
          </cell>
        </row>
        <row r="75">
          <cell r="D75" t="str">
            <v>m60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1.xml><?xml version="1.0" encoding="utf-8"?>
<externalLink xmlns:r="http://schemas.openxmlformats.org/officeDocument/2006/relationships" xmlns="http://schemas.openxmlformats.org/spreadsheetml/2006/main">
  <externalBook r:id="rId1">
    <sheetNames>
      <sheetName val="Об пр-ва"/>
      <sheetName val="Осн. пара"/>
      <sheetName val="Осн пар Свод"/>
      <sheetName val="3Ф"/>
      <sheetName val="2Ф"/>
      <sheetName val="Норм"/>
      <sheetName val="ОС"/>
      <sheetName val="Граф строит"/>
      <sheetName val="Пост Рх"/>
      <sheetName val="кредит"/>
      <sheetName val="Глины"/>
      <sheetName val="Рас по тр-ту"/>
      <sheetName val="ЗП"/>
      <sheetName val="IRR NPV"/>
      <sheetName val="Амор"/>
      <sheetName val="влиян топл"/>
      <sheetName val="Себест-ть"/>
      <sheetName val="обоснование"/>
      <sheetName val="цены"/>
    </sheetNames>
    <sheetDataSet>
      <sheetData sheetId="0" refreshError="1"/>
      <sheetData sheetId="1">
        <row r="9">
          <cell r="C9">
            <v>26</v>
          </cell>
        </row>
      </sheetData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:r="http://schemas.openxmlformats.org/officeDocument/2006/relationships" xmlns="http://schemas.openxmlformats.org/spreadsheetml/2006/main">
  <externalBook r:id="rId1">
    <sheetNames>
      <sheetName val="Баланс"/>
      <sheetName val="Риски"/>
      <sheetName val="Осн. пара"/>
      <sheetName val="Оценка "/>
      <sheetName val="Модель"/>
      <sheetName val="IRR NPV"/>
      <sheetName val="фин пок СК 1"/>
      <sheetName val="фин пок 1"/>
      <sheetName val="Осн пар Свод"/>
      <sheetName val="2Ф"/>
      <sheetName val="3Ф"/>
      <sheetName val="Граф стр"/>
      <sheetName val="кредит с БРК"/>
      <sheetName val="Норм"/>
      <sheetName val="Пост Рх"/>
      <sheetName val="Глины"/>
      <sheetName val="Рас по тр-ту"/>
      <sheetName val="ЗП"/>
      <sheetName val="Амор"/>
      <sheetName val="Стр. фин"/>
      <sheetName val="Свод кредиты"/>
      <sheetName val="Об пр-ва"/>
      <sheetName val="влиян топл"/>
      <sheetName val="кредит"/>
      <sheetName val="ОС"/>
      <sheetName val="констр"/>
      <sheetName val="под"/>
      <sheetName val="График кредит"/>
      <sheetName val="Лист1"/>
      <sheetName val="Себест-ть"/>
      <sheetName val="Граф строит"/>
      <sheetName val="обоснование"/>
      <sheetName val="цены"/>
      <sheetName val="Ф3 для АФ"/>
      <sheetName val="3A для АФ"/>
      <sheetName val="Ф2 для А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9">
          <cell r="F9">
            <v>15.920769635750389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63.xml><?xml version="1.0" encoding="utf-8"?>
<externalLink xmlns:r="http://schemas.openxmlformats.org/officeDocument/2006/relationships" xmlns="http://schemas.openxmlformats.org/spreadsheetml/2006/main">
  <externalBook r:id="rId1">
    <sheetNames>
      <sheetName val="L-1"/>
      <sheetName val="G-1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:r="http://schemas.openxmlformats.org/officeDocument/2006/relationships" xmlns="http://schemas.openxmlformats.org/spreadsheetml/2006/main">
  <externalBook r:id="rId1">
    <sheetNames>
      <sheetName val="Титул"/>
      <sheetName val="Содержание"/>
      <sheetName val="Предположения"/>
      <sheetName val="Вводные данные"/>
      <sheetName val="ИнвестЗатраты"/>
      <sheetName val="ЭксплутацЗатраты"/>
      <sheetName val="Каналы связи"/>
      <sheetName val="Обслуживание"/>
      <sheetName val="Финансирование"/>
      <sheetName val="ФОТ"/>
      <sheetName val="расчет площади"/>
      <sheetName val="ОПУ и ДП"/>
      <sheetName val="ДР и А"/>
      <sheetName val="штрафы"/>
      <sheetName val="Анализ и БЭ"/>
      <sheetName val="Итоги"/>
      <sheetName val="БИП "/>
      <sheetName val="Бюджкредит"/>
      <sheetName val="Оценка рисков"/>
      <sheetName val="Баланс рисков"/>
      <sheetName val="Исх"/>
    </sheetNames>
    <sheetDataSet>
      <sheetData sheetId="0"/>
      <sheetData sheetId="1"/>
      <sheetData sheetId="2"/>
      <sheetData sheetId="3"/>
      <sheetData sheetId="4">
        <row r="5">
          <cell r="C5">
            <v>300</v>
          </cell>
        </row>
        <row r="6">
          <cell r="C6">
            <v>400</v>
          </cell>
        </row>
        <row r="7">
          <cell r="C7">
            <v>4000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id="1" name="Таблица1" displayName="Таблица1" ref="B2:J87" headerRowCount="1" totalsRowShown="0" headerRowDxfId="10" dataDxfId="0">
  <autoFilter ref="B2:J87"/>
  <tableColumns count="9">
    <tableColumn id="1" name="Статья затрат (1-уровень)" dataDxfId="9" dataCellStyle="Финансовый"/>
    <tableColumn id="2" name="Наименование (Артефакт)" dataDxfId="8" dataCellStyle="Финансовый"/>
    <tableColumn id="3" name="Ед. измерения" dataDxfId="7" dataCellStyle="Финансовый"/>
    <tableColumn id="4" name="Цена за ед.с НДС, тенге" dataDxfId="6" dataCellStyle="Финансовый"/>
    <tableColumn id="5" name="Поставщик количества" dataDxfId="5"/>
    <tableColumn id="6" name="Этап" dataDxfId="4"/>
    <tableColumn id="7" name="Поставщик цены" dataDxfId="3"/>
    <tableColumn id="8" name="Держатель калькулятора" dataDxfId="2"/>
    <tableColumn id="9" name="Поставщик характеристи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almatydc.kz/ru/news/127-almaty-usilivaet-napravlenie-bezopasnyj-goro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48"/>
  <sheetViews>
    <sheetView tabSelected="1" zoomScale="92" zoomScaleNormal="73" workbookViewId="0">
      <selection activeCell="C3" sqref="C3"/>
    </sheetView>
  </sheetViews>
  <sheetFormatPr baseColWidth="8" defaultColWidth="8.42578125" defaultRowHeight="15"/>
  <cols>
    <col width="7.7109375" customWidth="1" style="74" min="1" max="1"/>
    <col width="26.7109375" customWidth="1" style="74" min="2" max="2"/>
    <col width="52.42578125" customWidth="1" style="57" min="3" max="3"/>
    <col width="12.5703125" customWidth="1" style="75" min="4" max="4"/>
    <col width="15.28515625" customWidth="1" style="75" min="5" max="5"/>
    <col width="23.5703125" customWidth="1" style="57" min="6" max="6"/>
    <col width="10.5703125" customWidth="1" style="57" min="7" max="7"/>
    <col width="19.85546875" customWidth="1" style="57" min="8" max="8"/>
    <col width="31.140625" customWidth="1" style="57" min="9" max="9"/>
    <col width="28.7109375" customWidth="1" style="57" min="10" max="10"/>
    <col width="15.28515625" bestFit="1" customWidth="1" style="57" min="11" max="11"/>
    <col width="12.42578125" bestFit="1" customWidth="1" style="57" min="12" max="13"/>
    <col width="8.42578125" customWidth="1" style="57" min="14" max="16384"/>
  </cols>
  <sheetData>
    <row r="1"/>
    <row r="2" ht="27" customFormat="1" customHeight="1" s="59">
      <c r="A2" s="74" t="n"/>
      <c r="B2" s="67" t="inlineStr">
        <is>
          <t>Статья затрат (1-уровень)</t>
        </is>
      </c>
      <c r="C2" s="67" t="inlineStr">
        <is>
          <t>Наименование (Артефакт)</t>
        </is>
      </c>
      <c r="D2" t="inlineStr">
        <is>
          <t>CAPEX/OPEX</t>
        </is>
      </c>
      <c r="E2" s="67" t="inlineStr">
        <is>
          <t>Ед. измерения</t>
        </is>
      </c>
      <c r="F2" s="67" t="inlineStr">
        <is>
          <t>Цена за ед.с НДС, тенге</t>
        </is>
      </c>
      <c r="G2" s="68" t="inlineStr">
        <is>
          <t>Поставщик количества</t>
        </is>
      </c>
      <c r="H2" s="68" t="inlineStr">
        <is>
          <t>Этап</t>
        </is>
      </c>
      <c r="I2" s="68" t="inlineStr">
        <is>
          <t>Поставщик цены</t>
        </is>
      </c>
      <c r="J2" s="68" t="inlineStr">
        <is>
          <t>Держатель калькулятора</t>
        </is>
      </c>
      <c r="K2" s="68" t="inlineStr">
        <is>
          <t>Поставщик характеристик</t>
        </is>
      </c>
      <c r="L2" t="inlineStr">
        <is>
          <t>Источник (исторические ФЭМ)</t>
        </is>
      </c>
      <c r="M2" t="inlineStr">
        <is>
          <t>Встречаемость в истор. ФЭМ</t>
        </is>
      </c>
    </row>
    <row r="3" ht="30" customHeight="1">
      <c r="B3" s="76" t="inlineStr">
        <is>
          <t>Аппаратно-программные комплексы "Сергек"</t>
        </is>
      </c>
      <c r="C3" s="76" t="inlineStr">
        <is>
          <t>Аппаратно-программный комплекс "Сергек. Линейный участок"</t>
        </is>
      </c>
      <c r="D3" t="inlineStr">
        <is>
          <t>CAPEX</t>
        </is>
      </c>
      <c r="E3" s="77" t="inlineStr">
        <is>
          <t>шт</t>
        </is>
      </c>
      <c r="F3" s="78" t="n">
        <v>4800000</v>
      </c>
      <c r="G3" s="72" t="inlineStr">
        <is>
          <t>Гос.партнер/ДРБ</t>
        </is>
      </c>
      <c r="H3" s="73" t="n">
        <v>0</v>
      </c>
      <c r="I3" s="72" t="inlineStr">
        <is>
          <t>ST</t>
        </is>
      </c>
      <c r="J3" s="72" t="inlineStr">
        <is>
          <t>Арман Шапаев (Департамент по продуктам)</t>
        </is>
      </c>
      <c r="K3" s="72" t="inlineStr">
        <is>
          <t>RnD</t>
        </is>
      </c>
    </row>
    <row r="4" ht="30" customHeight="1">
      <c r="B4" s="76" t="inlineStr">
        <is>
          <t>Аппаратно-программные комплексы "Сергек"</t>
        </is>
      </c>
      <c r="C4" s="76" t="inlineStr">
        <is>
          <t>Аппаратно-программный комплекс "Сергек. Перекрёсток"</t>
        </is>
      </c>
      <c r="D4" t="inlineStr">
        <is>
          <t>CAPEX</t>
        </is>
      </c>
      <c r="E4" s="77" t="inlineStr">
        <is>
          <t>шт</t>
        </is>
      </c>
      <c r="F4" s="78" t="n">
        <v>12000000</v>
      </c>
      <c r="G4" s="72" t="inlineStr">
        <is>
          <t>Гос.партнер/ДРБ</t>
        </is>
      </c>
      <c r="H4" s="73" t="n">
        <v>0</v>
      </c>
      <c r="I4" s="72" t="inlineStr">
        <is>
          <t>ST</t>
        </is>
      </c>
      <c r="J4" s="72" t="inlineStr">
        <is>
          <t>Арман Шапаев (Департамент по продуктам)</t>
        </is>
      </c>
      <c r="K4" s="72" t="inlineStr">
        <is>
          <t>RnD</t>
        </is>
      </c>
    </row>
    <row r="5" ht="30" customHeight="1">
      <c r="B5" s="76" t="inlineStr">
        <is>
          <t>Аппаратно-программные комплексы "Сергек"</t>
        </is>
      </c>
      <c r="C5" s="76" t="inlineStr">
        <is>
          <t>Аппаратно-программный комплекс "Сергек. Линейный участок v 4.0" на трассе</t>
        </is>
      </c>
      <c r="D5" t="inlineStr">
        <is>
          <t>CAPEX</t>
        </is>
      </c>
      <c r="E5" s="77" t="inlineStr">
        <is>
          <t>шт</t>
        </is>
      </c>
      <c r="F5" s="78" t="n">
        <v>4800000</v>
      </c>
      <c r="G5" s="72" t="inlineStr">
        <is>
          <t>Гос.партнер/ДРБ</t>
        </is>
      </c>
      <c r="H5" s="73" t="n">
        <v>0</v>
      </c>
      <c r="I5" s="72" t="inlineStr">
        <is>
          <t>ST</t>
        </is>
      </c>
      <c r="J5" s="72" t="inlineStr">
        <is>
          <t>Арман Шапаев (Департамент по продуктам)</t>
        </is>
      </c>
      <c r="K5" s="72" t="inlineStr">
        <is>
          <t>RnD</t>
        </is>
      </c>
    </row>
    <row r="6" ht="30" customHeight="1">
      <c r="B6" s="76" t="inlineStr">
        <is>
          <t>Аппаратно-программные комплексы "Сергек"</t>
        </is>
      </c>
      <c r="C6" s="76" t="inlineStr">
        <is>
          <t>Комплект камер высокого разрешения</t>
        </is>
      </c>
      <c r="D6" t="inlineStr">
        <is>
          <t>CAPEX</t>
        </is>
      </c>
      <c r="E6" s="77" t="inlineStr">
        <is>
          <t>шт</t>
        </is>
      </c>
      <c r="F6" s="78" t="n">
        <v>2550000</v>
      </c>
      <c r="G6" s="72" t="inlineStr">
        <is>
          <t>Гос.партнер/ДРБ</t>
        </is>
      </c>
      <c r="H6" s="73" t="n">
        <v>0</v>
      </c>
      <c r="I6" s="72" t="inlineStr">
        <is>
          <t>ST</t>
        </is>
      </c>
      <c r="J6" s="72" t="inlineStr">
        <is>
          <t>Арман Шапаев (Департамент по продуктам)</t>
        </is>
      </c>
      <c r="K6" s="72" t="inlineStr">
        <is>
          <t>RnD</t>
        </is>
      </c>
    </row>
    <row r="7" ht="30" customHeight="1">
      <c r="B7" s="76" t="inlineStr">
        <is>
          <t>Аппаратно-программные комплексы "Сергек"</t>
        </is>
      </c>
      <c r="C7" s="76" t="inlineStr">
        <is>
          <t>Радар</t>
        </is>
      </c>
      <c r="D7" t="inlineStr">
        <is>
          <t>CAPEX</t>
        </is>
      </c>
      <c r="E7" s="77" t="inlineStr">
        <is>
          <t>шт</t>
        </is>
      </c>
      <c r="F7" s="78" t="n">
        <v>850000</v>
      </c>
      <c r="G7" s="72" t="inlineStr">
        <is>
          <t>Гос.партнер/ДРБ</t>
        </is>
      </c>
      <c r="H7" s="73" t="n">
        <v>0</v>
      </c>
      <c r="I7" s="72" t="inlineStr">
        <is>
          <t>ST</t>
        </is>
      </c>
      <c r="J7" s="72" t="inlineStr">
        <is>
          <t>Арман Шапаев (Департамент по продуктам)</t>
        </is>
      </c>
      <c r="K7" s="72" t="inlineStr">
        <is>
          <t>RnD</t>
        </is>
      </c>
    </row>
    <row r="8" ht="30" customHeight="1">
      <c r="B8" s="76" t="inlineStr">
        <is>
          <t>Аппаратно-программные комплексы "Сергек"</t>
        </is>
      </c>
      <c r="C8" s="76" t="inlineStr">
        <is>
          <t>Счетчики АСКУЭ, включая монтаж, опломбирование и ввод в эксплуатацию</t>
        </is>
      </c>
      <c r="D8" t="inlineStr">
        <is>
          <t>CAPEX</t>
        </is>
      </c>
      <c r="E8" s="77" t="inlineStr">
        <is>
          <t>шт</t>
        </is>
      </c>
      <c r="F8" s="78" t="n">
        <v>100000</v>
      </c>
      <c r="G8" s="72" t="inlineStr">
        <is>
          <t>Никто (автоматом калькулятор Манько Г.)</t>
        </is>
      </c>
      <c r="H8" s="73" t="n"/>
      <c r="I8" s="72" t="inlineStr">
        <is>
          <t>ST</t>
        </is>
      </c>
      <c r="J8" s="72" t="inlineStr">
        <is>
          <t>Григорий Манько (ФД)</t>
        </is>
      </c>
      <c r="K8" s="72" t="inlineStr">
        <is>
          <t>Никто (автоматом калькулятор Манько Г.)</t>
        </is>
      </c>
    </row>
    <row r="9" ht="30" customHeight="1">
      <c r="B9" s="76" t="inlineStr">
        <is>
          <t>Аппаратно-программные комплексы "Сергек"</t>
        </is>
      </c>
      <c r="C9" s="76" t="inlineStr">
        <is>
          <t xml:space="preserve">Железобетонная стойка </t>
        </is>
      </c>
      <c r="D9" t="inlineStr">
        <is>
          <t>CAPEX</t>
        </is>
      </c>
      <c r="E9" s="77" t="inlineStr">
        <is>
          <t>шт</t>
        </is>
      </c>
      <c r="F9" s="78" t="n">
        <v>1485000</v>
      </c>
      <c r="G9" s="72" t="inlineStr">
        <is>
          <t>Никто (автоматом калькулятор Манько Г.)</t>
        </is>
      </c>
      <c r="H9" s="73" t="n"/>
      <c r="I9" s="72" t="inlineStr">
        <is>
          <t>ST</t>
        </is>
      </c>
      <c r="J9" s="72" t="inlineStr">
        <is>
          <t>Григорий Манько (ФД)</t>
        </is>
      </c>
      <c r="K9" s="72" t="inlineStr">
        <is>
          <t>Никто (автоматом калькулятор Манько Г.)</t>
        </is>
      </c>
    </row>
    <row r="10" ht="30" customHeight="1">
      <c r="B10" s="76" t="inlineStr">
        <is>
          <t>Камеры общественной безопасности</t>
        </is>
      </c>
      <c r="C10" s="76" t="inlineStr">
        <is>
          <t>Варифакальные, включая комплект расходных материалов для монтажа</t>
        </is>
      </c>
      <c r="D10" t="inlineStr">
        <is>
          <t>CAPEX</t>
        </is>
      </c>
      <c r="E10" s="77" t="inlineStr">
        <is>
          <t>шт</t>
        </is>
      </c>
      <c r="F10" s="78" t="n">
        <v>600000</v>
      </c>
      <c r="G10" s="72" t="inlineStr">
        <is>
          <t>Гос.партнер/ДРБ</t>
        </is>
      </c>
      <c r="H10" s="73" t="n">
        <v>0</v>
      </c>
      <c r="I10" s="72" t="inlineStr">
        <is>
          <t>ДРБ</t>
        </is>
      </c>
      <c r="J10" s="72" t="inlineStr">
        <is>
          <t>Арман Шапаев (Департамент по продуктам)</t>
        </is>
      </c>
      <c r="K10" s="72" t="inlineStr">
        <is>
          <t>RnD</t>
        </is>
      </c>
    </row>
    <row r="11" ht="30" customHeight="1">
      <c r="B11" s="76" t="inlineStr">
        <is>
          <t>Камеры общественной безопасности</t>
        </is>
      </c>
      <c r="C11" s="76" t="inlineStr">
        <is>
          <t>Фиксированная,включая комплект расходных материалов для монтажа</t>
        </is>
      </c>
      <c r="D11" t="inlineStr">
        <is>
          <t>CAPEX</t>
        </is>
      </c>
      <c r="E11" s="77" t="inlineStr">
        <is>
          <t>шт</t>
        </is>
      </c>
      <c r="F11" s="78" t="n">
        <v>300000</v>
      </c>
      <c r="G11" s="72" t="inlineStr">
        <is>
          <t>Гос.партнер/ДРБ</t>
        </is>
      </c>
      <c r="H11" s="73" t="n">
        <v>0</v>
      </c>
      <c r="I11" s="72" t="inlineStr">
        <is>
          <t>ДРБ</t>
        </is>
      </c>
      <c r="J11" s="72" t="inlineStr">
        <is>
          <t>Арман Шапаев (Департамент по продуктам)</t>
        </is>
      </c>
      <c r="K11" s="72" t="inlineStr">
        <is>
          <t>RnD</t>
        </is>
      </c>
    </row>
    <row r="12" ht="30" customHeight="1">
      <c r="B12" s="76" t="inlineStr">
        <is>
          <t>Камеры общественной безопасности</t>
        </is>
      </c>
      <c r="C12" s="76" t="inlineStr">
        <is>
          <t>Интеграция, включая комплект расходных материалов для монтажа</t>
        </is>
      </c>
      <c r="D12" t="inlineStr">
        <is>
          <t>CAPEX</t>
        </is>
      </c>
      <c r="E12" s="77" t="inlineStr">
        <is>
          <t>шт</t>
        </is>
      </c>
      <c r="F12" s="78" t="n">
        <v>180000</v>
      </c>
      <c r="G12" s="72" t="inlineStr">
        <is>
          <t>Гос.партнер/ДРБ</t>
        </is>
      </c>
      <c r="H12" s="73" t="n">
        <v>0</v>
      </c>
      <c r="I12" s="72" t="inlineStr">
        <is>
          <t>ДРБ</t>
        </is>
      </c>
      <c r="J12" s="72" t="inlineStr">
        <is>
          <t>Никто (автоматом калькулятор Манько Г.)</t>
        </is>
      </c>
      <c r="K12" s="72" t="inlineStr">
        <is>
          <t>Никто (автоматом калькулятор Манько Г.)</t>
        </is>
      </c>
    </row>
    <row r="13" ht="30" customHeight="1">
      <c r="B13" s="76" t="inlineStr">
        <is>
          <t>Камеры общественной безопасности</t>
        </is>
      </c>
      <c r="C13" s="76" t="inlineStr">
        <is>
          <t>Объект размещения ОВН</t>
        </is>
      </c>
      <c r="D13" t="inlineStr">
        <is>
          <t>CAPEX</t>
        </is>
      </c>
      <c r="E13" s="77" t="inlineStr">
        <is>
          <t>шт</t>
        </is>
      </c>
      <c r="F13" s="78" t="n">
        <v>180000</v>
      </c>
      <c r="G13" s="72" t="inlineStr">
        <is>
          <t>Никто (автоматом калькулятор Манько Г.)</t>
        </is>
      </c>
      <c r="H13" s="73" t="n">
        <v>0</v>
      </c>
      <c r="I13" s="72" t="inlineStr">
        <is>
          <t>ДРБ</t>
        </is>
      </c>
      <c r="J13" s="72" t="inlineStr">
        <is>
          <t>Никто (автоматом калькулятор Манько Г.)</t>
        </is>
      </c>
      <c r="K13" s="72" t="inlineStr">
        <is>
          <t>Никто (автоматом калькулятор Манько Г.)</t>
        </is>
      </c>
    </row>
    <row r="14" ht="60" customHeight="1">
      <c r="B14" s="76" t="inlineStr">
        <is>
          <t>Центр обработки и анализа данных</t>
        </is>
      </c>
      <c r="C14" s="76" t="inlineStr">
        <is>
          <t>Оборудование помещения серверной: Кондиционирование, СКУД, видеонаблюдение, система мониторинга, электропитание, серверные шкафы, СКС, пожаротушение, фальшпол</t>
        </is>
      </c>
      <c r="D14" t="inlineStr">
        <is>
          <t>CAPEX</t>
        </is>
      </c>
      <c r="E14" s="77" t="n"/>
      <c r="F14" s="78" t="n">
        <v>160000000</v>
      </c>
      <c r="G14" s="72" t="inlineStr">
        <is>
          <t>Zerek</t>
        </is>
      </c>
      <c r="H14" s="73" t="n">
        <v>5</v>
      </c>
      <c r="I14" s="72" t="inlineStr">
        <is>
          <t>ДРБ</t>
        </is>
      </c>
      <c r="J14" s="72" t="inlineStr">
        <is>
          <t>Zerek</t>
        </is>
      </c>
      <c r="K14" s="72" t="inlineStr">
        <is>
          <t>Zerek</t>
        </is>
      </c>
    </row>
    <row r="15" ht="30" customHeight="1">
      <c r="B15" s="76" t="inlineStr">
        <is>
          <t>Центр обработки и анализа данных</t>
        </is>
      </c>
      <c r="C15" s="76" t="inlineStr">
        <is>
          <t>Сервера для обработки данных и анализа</t>
        </is>
      </c>
      <c r="D15" t="inlineStr">
        <is>
          <t>CAPEX</t>
        </is>
      </c>
      <c r="E15" s="77" t="n"/>
      <c r="F15" s="78" t="n">
        <v>25800000</v>
      </c>
      <c r="G15" s="72" t="inlineStr">
        <is>
          <t>Zerek</t>
        </is>
      </c>
      <c r="H15" s="73" t="n">
        <v>5</v>
      </c>
      <c r="I15" s="72" t="inlineStr">
        <is>
          <t>ДРБ</t>
        </is>
      </c>
      <c r="J15" s="72" t="inlineStr">
        <is>
          <t>Zerek</t>
        </is>
      </c>
      <c r="K15" s="72" t="inlineStr">
        <is>
          <t>Zerek</t>
        </is>
      </c>
    </row>
    <row r="16" ht="30" customHeight="1">
      <c r="B16" s="76" t="inlineStr">
        <is>
          <t>Центр обработки и анализа данных</t>
        </is>
      </c>
      <c r="C16" s="76" t="inlineStr">
        <is>
          <t>Сервер резервного копирования</t>
        </is>
      </c>
      <c r="D16" t="inlineStr">
        <is>
          <t>CAPEX</t>
        </is>
      </c>
      <c r="E16" s="77" t="n"/>
      <c r="F16" s="78" t="n">
        <v>18000000</v>
      </c>
      <c r="G16" s="72" t="inlineStr">
        <is>
          <t>Zerek</t>
        </is>
      </c>
      <c r="H16" s="73" t="n">
        <v>5</v>
      </c>
      <c r="I16" s="72" t="inlineStr">
        <is>
          <t>ДРБ</t>
        </is>
      </c>
      <c r="J16" s="72" t="inlineStr">
        <is>
          <t>Zerek</t>
        </is>
      </c>
      <c r="K16" s="72" t="inlineStr">
        <is>
          <t>Zerek</t>
        </is>
      </c>
    </row>
    <row r="17" ht="30" customHeight="1">
      <c r="B17" s="76" t="inlineStr">
        <is>
          <t>Центр обработки и анализа данных</t>
        </is>
      </c>
      <c r="C17" s="76" t="inlineStr">
        <is>
          <t>Система хранения данных, HDD</t>
        </is>
      </c>
      <c r="D17" t="inlineStr">
        <is>
          <t>CAPEX</t>
        </is>
      </c>
      <c r="E17" s="77" t="n"/>
      <c r="F17" s="78" t="n">
        <v>26000000</v>
      </c>
      <c r="G17" s="72" t="inlineStr">
        <is>
          <t>Zerek</t>
        </is>
      </c>
      <c r="H17" s="73" t="n">
        <v>5</v>
      </c>
      <c r="I17" s="72" t="inlineStr">
        <is>
          <t>ДРБ</t>
        </is>
      </c>
      <c r="J17" s="72" t="inlineStr">
        <is>
          <t>Zerek</t>
        </is>
      </c>
      <c r="K17" s="72" t="inlineStr">
        <is>
          <t>Zerek</t>
        </is>
      </c>
    </row>
    <row r="18" ht="30" customHeight="1">
      <c r="B18" s="76" t="inlineStr">
        <is>
          <t>Центр обработки и анализа данных</t>
        </is>
      </c>
      <c r="C18" s="76" t="inlineStr">
        <is>
          <t>Система хранения данных, SSD</t>
        </is>
      </c>
      <c r="D18" t="inlineStr">
        <is>
          <t>CAPEX</t>
        </is>
      </c>
      <c r="E18" s="77" t="n"/>
      <c r="F18" s="78" t="n">
        <v>260000000</v>
      </c>
      <c r="G18" s="72" t="inlineStr">
        <is>
          <t>Zerek</t>
        </is>
      </c>
      <c r="H18" s="73" t="n">
        <v>5</v>
      </c>
      <c r="I18" s="72" t="inlineStr">
        <is>
          <t>ДРБ</t>
        </is>
      </c>
      <c r="J18" s="72" t="inlineStr">
        <is>
          <t>Zerek</t>
        </is>
      </c>
      <c r="K18" s="72" t="inlineStr">
        <is>
          <t>Zerek</t>
        </is>
      </c>
    </row>
    <row r="19" ht="30" customFormat="1" customHeight="1" s="58">
      <c r="A19" s="74" t="n"/>
      <c r="B19" s="76" t="inlineStr">
        <is>
          <t>Центр обработки и анализа данных</t>
        </is>
      </c>
      <c r="C19" s="76" t="inlineStr">
        <is>
          <t>Коммутационное оборудование, комплект</t>
        </is>
      </c>
      <c r="D19" t="inlineStr">
        <is>
          <t>CAPEX</t>
        </is>
      </c>
      <c r="E19" s="77" t="n"/>
      <c r="F19" s="78" t="n">
        <v>12000000</v>
      </c>
      <c r="G19" s="72" t="inlineStr">
        <is>
          <t>Zerek</t>
        </is>
      </c>
      <c r="H19" s="73" t="n">
        <v>5</v>
      </c>
      <c r="I19" s="72" t="inlineStr">
        <is>
          <t>ДРБ</t>
        </is>
      </c>
      <c r="J19" s="72" t="inlineStr">
        <is>
          <t>Zerek</t>
        </is>
      </c>
      <c r="K19" s="72" t="inlineStr">
        <is>
          <t>Zerek</t>
        </is>
      </c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</row>
    <row r="20" ht="30" customHeight="1">
      <c r="B20" s="76" t="inlineStr">
        <is>
          <t>Центр обработки и анализа данных</t>
        </is>
      </c>
      <c r="C20" s="76" t="inlineStr">
        <is>
          <t>Маршрутизаторы</t>
        </is>
      </c>
      <c r="D20" t="inlineStr">
        <is>
          <t>CAPEX</t>
        </is>
      </c>
      <c r="E20" s="77" t="n"/>
      <c r="F20" s="78" t="n">
        <v>3500000</v>
      </c>
      <c r="G20" s="72" t="inlineStr">
        <is>
          <t>Zerek</t>
        </is>
      </c>
      <c r="H20" s="73" t="n">
        <v>5</v>
      </c>
      <c r="I20" s="72" t="inlineStr">
        <is>
          <t>ДРБ</t>
        </is>
      </c>
      <c r="J20" s="72" t="inlineStr">
        <is>
          <t>Zerek</t>
        </is>
      </c>
      <c r="K20" s="72" t="inlineStr">
        <is>
          <t>Zerek</t>
        </is>
      </c>
      <c r="U20" s="58" t="n"/>
      <c r="V20" s="58" t="n"/>
      <c r="W20" s="58" t="n"/>
      <c r="X20" s="58" t="n"/>
      <c r="Y20" s="58" t="n"/>
      <c r="Z20" s="58" t="n"/>
    </row>
    <row r="21" ht="30" customHeight="1">
      <c r="B21" s="76" t="inlineStr">
        <is>
          <t>Центр обработки и анализа данных</t>
        </is>
      </c>
      <c r="C21" s="76" t="inlineStr">
        <is>
          <t>Система предотвращения вторжений (IPS)</t>
        </is>
      </c>
      <c r="D21" t="inlineStr">
        <is>
          <t>CAPEX</t>
        </is>
      </c>
      <c r="E21" s="77" t="n"/>
      <c r="F21" s="78" t="n">
        <v>14000000</v>
      </c>
      <c r="G21" s="72" t="inlineStr">
        <is>
          <t>Zerek</t>
        </is>
      </c>
      <c r="H21" s="73" t="n">
        <v>5</v>
      </c>
      <c r="I21" s="72" t="inlineStr">
        <is>
          <t>ДРБ</t>
        </is>
      </c>
      <c r="J21" s="72" t="inlineStr">
        <is>
          <t>Zerek</t>
        </is>
      </c>
      <c r="K21" s="72" t="inlineStr">
        <is>
          <t>Zerek</t>
        </is>
      </c>
    </row>
    <row r="22" ht="30" customHeight="1">
      <c r="B22" s="76" t="inlineStr">
        <is>
          <t>Центр обработки и анализа данных</t>
        </is>
      </c>
      <c r="C22" s="76" t="inlineStr">
        <is>
          <t>Прохождение испытаний на соответствие требованиям ИБ у АО "ГТС"</t>
        </is>
      </c>
      <c r="D22" t="inlineStr">
        <is>
          <t>CAPEX</t>
        </is>
      </c>
      <c r="E22" s="77" t="n"/>
      <c r="F22" s="78" t="n">
        <v>18000000</v>
      </c>
      <c r="G22" s="72" t="inlineStr">
        <is>
          <t>Zerek</t>
        </is>
      </c>
      <c r="H22" s="73" t="n">
        <v>5</v>
      </c>
      <c r="I22" s="72" t="inlineStr">
        <is>
          <t>ДРБ</t>
        </is>
      </c>
      <c r="J22" s="72" t="inlineStr">
        <is>
          <t>Zerek</t>
        </is>
      </c>
      <c r="K22" s="72" t="inlineStr">
        <is>
          <t>Zerek</t>
        </is>
      </c>
    </row>
    <row r="23" ht="30" customHeight="1">
      <c r="B23" s="76" t="inlineStr">
        <is>
          <t>Центр обработки и анализа данных</t>
        </is>
      </c>
      <c r="C23" s="76" t="inlineStr">
        <is>
          <t>ПО для серверов</t>
        </is>
      </c>
      <c r="D23" t="inlineStr">
        <is>
          <t>CAPEX</t>
        </is>
      </c>
      <c r="E23" s="77" t="n"/>
      <c r="F23" s="78" t="n">
        <v>251074474</v>
      </c>
      <c r="G23" s="72" t="inlineStr">
        <is>
          <t>Zerek</t>
        </is>
      </c>
      <c r="H23" s="73" t="n">
        <v>5</v>
      </c>
      <c r="I23" s="72" t="inlineStr">
        <is>
          <t>ДРБ</t>
        </is>
      </c>
      <c r="J23" s="72" t="inlineStr">
        <is>
          <t>Zerek</t>
        </is>
      </c>
      <c r="K23" s="72" t="inlineStr">
        <is>
          <t>Zerek</t>
        </is>
      </c>
    </row>
    <row r="24" ht="45" customHeight="1">
      <c r="B24" s="76" t="inlineStr">
        <is>
          <t>Оснащение рабочих мест Ситуационного центра</t>
        </is>
      </c>
      <c r="C24" s="76" t="inlineStr">
        <is>
          <t>Рабочее место оператора</t>
        </is>
      </c>
      <c r="D24" t="inlineStr">
        <is>
          <t>CAPEX</t>
        </is>
      </c>
      <c r="E24" s="77" t="n"/>
      <c r="F24" s="78" t="n">
        <v>900000</v>
      </c>
      <c r="G24" s="72" t="inlineStr">
        <is>
          <t>Гос.партнер/ДРБ</t>
        </is>
      </c>
      <c r="H24" s="73" t="n"/>
      <c r="I24" s="72" t="inlineStr">
        <is>
          <t>Никто (автоматом калькулятор Манько Г.)</t>
        </is>
      </c>
      <c r="J24" s="72" t="inlineStr">
        <is>
          <t>Незивестно</t>
        </is>
      </c>
      <c r="K24" s="72" t="inlineStr">
        <is>
          <t>Никто (автоматом калькулятор Манько Г.)</t>
        </is>
      </c>
    </row>
    <row r="25" ht="45" customHeight="1">
      <c r="B25" s="76" t="inlineStr">
        <is>
          <t>Стоимость монтажных работ и услуг для запуска проекта</t>
        </is>
      </c>
      <c r="C25" s="76" t="inlineStr">
        <is>
          <t>Монтаж АПК на линейном участке</t>
        </is>
      </c>
      <c r="D25" t="inlineStr">
        <is>
          <t>CAPEX</t>
        </is>
      </c>
      <c r="E25" s="77" t="inlineStr">
        <is>
          <t>услуга</t>
        </is>
      </c>
      <c r="F25" s="78" t="n">
        <v>160000</v>
      </c>
      <c r="G25" s="72" t="inlineStr">
        <is>
          <t>Никто (автоматом калькулятор Манько Г.)</t>
        </is>
      </c>
      <c r="H25" s="73" t="n">
        <v>1</v>
      </c>
      <c r="I25" s="72" t="inlineStr">
        <is>
          <t>ДРБ/ДУП/ФД</t>
        </is>
      </c>
      <c r="J25" s="72" t="inlineStr">
        <is>
          <t>Григорий Манько</t>
        </is>
      </c>
      <c r="K25" s="72" t="n"/>
    </row>
    <row r="26" ht="45" customHeight="1">
      <c r="B26" s="76" t="inlineStr">
        <is>
          <t>Стоимость монтажных работ и услуг для запуска проекта</t>
        </is>
      </c>
      <c r="C26" s="76" t="inlineStr">
        <is>
          <t>Монтаж АПК на перекрестке</t>
        </is>
      </c>
      <c r="D26" t="inlineStr">
        <is>
          <t>CAPEX</t>
        </is>
      </c>
      <c r="E26" s="77" t="inlineStr">
        <is>
          <t>услуга</t>
        </is>
      </c>
      <c r="F26" s="78" t="n">
        <v>280000</v>
      </c>
      <c r="G26" s="72" t="inlineStr">
        <is>
          <t>Никто (автоматом калькулятор Манько Г.)</t>
        </is>
      </c>
      <c r="H26" s="73" t="n">
        <v>1</v>
      </c>
      <c r="I26" s="72" t="inlineStr">
        <is>
          <t>ДРБ/ДУП/ФД</t>
        </is>
      </c>
      <c r="J26" s="72" t="inlineStr">
        <is>
          <t>Григорий Манько</t>
        </is>
      </c>
      <c r="K26" s="72" t="n"/>
    </row>
    <row r="27" ht="45" customHeight="1">
      <c r="B27" s="76" t="inlineStr">
        <is>
          <t>Стоимость монтажных работ и услуг для запуска проекта</t>
        </is>
      </c>
      <c r="C27" s="76" t="inlineStr">
        <is>
          <t>Монтаж камеры общего видеонаблюдения</t>
        </is>
      </c>
      <c r="D27" t="inlineStr">
        <is>
          <t>CAPEX</t>
        </is>
      </c>
      <c r="E27" s="77" t="inlineStr">
        <is>
          <t>услуга</t>
        </is>
      </c>
      <c r="F27" s="78" t="n">
        <v>160000</v>
      </c>
      <c r="G27" s="72" t="inlineStr">
        <is>
          <t>Никто (автоматом калькулятор Манько Г.)</t>
        </is>
      </c>
      <c r="H27" s="73" t="n">
        <v>1</v>
      </c>
      <c r="I27" s="72" t="inlineStr">
        <is>
          <t>ДРБ/ДУП/ФД</t>
        </is>
      </c>
      <c r="J27" s="72" t="inlineStr">
        <is>
          <t>Григорий Манько</t>
        </is>
      </c>
      <c r="K27" s="72" t="n"/>
    </row>
    <row r="28" ht="45" customHeight="1">
      <c r="B28" s="76" t="inlineStr">
        <is>
          <t>Стоимость монтажных работ и услуг для запуска проекта</t>
        </is>
      </c>
      <c r="C28" s="76" t="inlineStr">
        <is>
          <t>Монтаж камеры интеграции</t>
        </is>
      </c>
      <c r="D28" t="inlineStr">
        <is>
          <t>CAPEX</t>
        </is>
      </c>
      <c r="E28" s="77" t="inlineStr">
        <is>
          <t>услуга</t>
        </is>
      </c>
      <c r="F28" s="78" t="n">
        <v>34000</v>
      </c>
      <c r="G28" s="72" t="inlineStr">
        <is>
          <t>Никто (автоматом калькулятор Манько Г.)</t>
        </is>
      </c>
      <c r="H28" s="73" t="n">
        <v>1</v>
      </c>
      <c r="I28" s="72" t="inlineStr">
        <is>
          <t>ДРБ/ДУП/ФД</t>
        </is>
      </c>
      <c r="J28" s="72" t="inlineStr">
        <is>
          <t>Григорий Манько</t>
        </is>
      </c>
      <c r="K28" s="72" t="n"/>
    </row>
    <row r="29" ht="45" customHeight="1">
      <c r="B29" s="76" t="inlineStr">
        <is>
          <t>Стоимость монтажных работ и услуг для запуска проекта</t>
        </is>
      </c>
      <c r="C29" s="76" t="inlineStr">
        <is>
          <t>Монтаж и запуск серверов</t>
        </is>
      </c>
      <c r="D29" t="inlineStr">
        <is>
          <t>CAPEX</t>
        </is>
      </c>
      <c r="E29" s="77" t="inlineStr">
        <is>
          <t>услуга</t>
        </is>
      </c>
      <c r="F29" s="78" t="n">
        <v>4200000</v>
      </c>
      <c r="G29" s="72" t="inlineStr">
        <is>
          <t>Никто (автоматом калькулятор Манько Г.)</t>
        </is>
      </c>
      <c r="H29" s="73" t="n">
        <v>1</v>
      </c>
      <c r="I29" s="72" t="inlineStr">
        <is>
          <t>ДРБ/ДУП/ФД</t>
        </is>
      </c>
      <c r="J29" s="72" t="inlineStr">
        <is>
          <t>Григорий Манько</t>
        </is>
      </c>
      <c r="K29" s="72" t="n"/>
    </row>
    <row r="30" ht="45" customHeight="1">
      <c r="B30" s="76" t="inlineStr">
        <is>
          <t>Стоимость монтажных работ и услуг для запуска проекта</t>
        </is>
      </c>
      <c r="C30" s="76" t="inlineStr">
        <is>
          <t>Услуги по сопровождению испытаний на соответствие требованиям ИБ</t>
        </is>
      </c>
      <c r="D30" t="inlineStr">
        <is>
          <t>CAPEX</t>
        </is>
      </c>
      <c r="E30" s="77" t="inlineStr">
        <is>
          <t>услуга</t>
        </is>
      </c>
      <c r="F30" s="78" t="n">
        <v>7500000</v>
      </c>
      <c r="G30" s="72" t="inlineStr">
        <is>
          <t>Никто (автоматом калькулятор Манько Г.)</t>
        </is>
      </c>
      <c r="H30" s="73" t="n">
        <v>1</v>
      </c>
      <c r="I30" s="72" t="inlineStr">
        <is>
          <t>ДРБ/ДУП/ФД</t>
        </is>
      </c>
      <c r="J30" s="72" t="inlineStr">
        <is>
          <t>Григорий Манько</t>
        </is>
      </c>
      <c r="K30" s="72" t="n"/>
    </row>
    <row r="31" ht="45" customHeight="1">
      <c r="B31" s="76" t="inlineStr">
        <is>
          <t>Стоимость монтажных работ и услуг для запуска проекта</t>
        </is>
      </c>
      <c r="C31" s="76" t="inlineStr">
        <is>
          <t>Поверка АПК</t>
        </is>
      </c>
      <c r="D31" t="inlineStr">
        <is>
          <t>CAPEX</t>
        </is>
      </c>
      <c r="E31" s="77" t="inlineStr">
        <is>
          <t>услуга</t>
        </is>
      </c>
      <c r="F31" s="78" t="n">
        <v>60000</v>
      </c>
      <c r="G31" s="72" t="inlineStr">
        <is>
          <t>Никто (автоматом калькулятор Манько Г.)</t>
        </is>
      </c>
      <c r="H31" s="73" t="n">
        <v>1</v>
      </c>
      <c r="I31" s="72" t="inlineStr">
        <is>
          <t>ДРБ/ДУП/ФД</t>
        </is>
      </c>
      <c r="J31" s="72" t="inlineStr">
        <is>
          <t>Григорий Манько</t>
        </is>
      </c>
      <c r="K31" s="72" t="inlineStr">
        <is>
          <t>RnD</t>
        </is>
      </c>
    </row>
    <row r="32" ht="45" customHeight="1">
      <c r="B32" s="76" t="inlineStr">
        <is>
          <t>Стоимость монтажных работ и услуг для запуска проекта</t>
        </is>
      </c>
      <c r="C32" s="76" t="inlineStr">
        <is>
          <t xml:space="preserve">Подключение ЦОД к постоянному питанию </t>
        </is>
      </c>
      <c r="D32" t="inlineStr">
        <is>
          <t>CAPEX</t>
        </is>
      </c>
      <c r="E32" s="77" t="inlineStr">
        <is>
          <t>услуга</t>
        </is>
      </c>
      <c r="F32" s="78" t="n">
        <v>7920000</v>
      </c>
      <c r="G32" s="72" t="inlineStr">
        <is>
          <t>Никто (автоматом калькулятор Манько Г.)</t>
        </is>
      </c>
      <c r="H32" s="73" t="n">
        <v>1</v>
      </c>
      <c r="I32" s="72" t="inlineStr">
        <is>
          <t>ДРБ/ДУП/ФД</t>
        </is>
      </c>
      <c r="J32" s="72" t="inlineStr">
        <is>
          <t>Григорий Манько</t>
        </is>
      </c>
      <c r="K32" s="72" t="n"/>
    </row>
    <row r="33" ht="45" customHeight="1">
      <c r="B33" s="76" t="inlineStr">
        <is>
          <t>Стоимость монтажных работ и услуг для запуска проекта</t>
        </is>
      </c>
      <c r="C33" s="76" t="inlineStr">
        <is>
          <t>Подключение к каналам связи АПК</t>
        </is>
      </c>
      <c r="D33" t="inlineStr">
        <is>
          <t>CAPEX</t>
        </is>
      </c>
      <c r="E33" s="77" t="inlineStr">
        <is>
          <t>услуга</t>
        </is>
      </c>
      <c r="F33" s="78" t="n">
        <v>300000</v>
      </c>
      <c r="G33" s="72" t="inlineStr">
        <is>
          <t>Никто (автоматом калькулятор Манько Г.)</t>
        </is>
      </c>
      <c r="H33" s="73" t="n">
        <v>1</v>
      </c>
      <c r="I33" s="72" t="inlineStr">
        <is>
          <t>ДРБ/ДУП/ФД</t>
        </is>
      </c>
      <c r="J33" s="72" t="inlineStr">
        <is>
          <t>Григорий Манько</t>
        </is>
      </c>
      <c r="K33" s="72" t="n"/>
    </row>
    <row r="34" ht="45" customHeight="1">
      <c r="B34" s="76" t="inlineStr">
        <is>
          <t>Стоимость монтажных работ и услуг для запуска проекта</t>
        </is>
      </c>
      <c r="C34" s="76" t="inlineStr">
        <is>
          <t>Подключение к каналам связи объектов ОВН</t>
        </is>
      </c>
      <c r="D34" t="inlineStr">
        <is>
          <t>CAPEX</t>
        </is>
      </c>
      <c r="E34" s="77" t="inlineStr">
        <is>
          <t>услуга</t>
        </is>
      </c>
      <c r="F34" s="78" t="n">
        <v>300000</v>
      </c>
      <c r="G34" s="72" t="inlineStr">
        <is>
          <t>Никто (автоматом калькулятор Манько Г.)</t>
        </is>
      </c>
      <c r="H34" s="73" t="n">
        <v>1</v>
      </c>
      <c r="I34" s="72" t="inlineStr">
        <is>
          <t>ДРБ/ДУП/ФД</t>
        </is>
      </c>
      <c r="J34" s="72" t="inlineStr">
        <is>
          <t>Григорий Манько</t>
        </is>
      </c>
      <c r="K34" s="72" t="n"/>
    </row>
    <row r="35" ht="45" customHeight="1">
      <c r="B35" s="76" t="inlineStr">
        <is>
          <t>Стоимость монтажных работ и услуг для запуска проекта</t>
        </is>
      </c>
      <c r="C35" s="76" t="inlineStr">
        <is>
          <t>Подключение к каналам связи ЦОД</t>
        </is>
      </c>
      <c r="D35" t="inlineStr">
        <is>
          <t>CAPEX</t>
        </is>
      </c>
      <c r="E35" s="77" t="inlineStr">
        <is>
          <t>услуга</t>
        </is>
      </c>
      <c r="F35" s="78" t="n">
        <v>9600000</v>
      </c>
      <c r="G35" s="72" t="inlineStr">
        <is>
          <t>Никто (автоматом калькулятор Манько Г.)</t>
        </is>
      </c>
      <c r="H35" s="73" t="n">
        <v>1</v>
      </c>
      <c r="I35" s="72" t="inlineStr">
        <is>
          <t>ДРБ/ДУП/ФД</t>
        </is>
      </c>
      <c r="J35" s="72" t="inlineStr">
        <is>
          <t>Григорий Манько</t>
        </is>
      </c>
      <c r="K35" s="72" t="n"/>
    </row>
    <row r="36" ht="45" customHeight="1">
      <c r="B36" s="76" t="inlineStr">
        <is>
          <t>Стоимость монтажных работ и услуг для запуска проекта</t>
        </is>
      </c>
      <c r="C36" s="76" t="inlineStr">
        <is>
          <t>Подключение интернет к ЦОДу</t>
        </is>
      </c>
      <c r="D36" t="inlineStr">
        <is>
          <t>CAPEX</t>
        </is>
      </c>
      <c r="E36" s="77" t="inlineStr">
        <is>
          <t>услуга</t>
        </is>
      </c>
      <c r="F36" s="78" t="n">
        <v>120000</v>
      </c>
      <c r="G36" s="72" t="inlineStr">
        <is>
          <t>Никто (автоматом калькулятор Манько Г.)</t>
        </is>
      </c>
      <c r="H36" s="73" t="n">
        <v>1</v>
      </c>
      <c r="I36" s="72" t="inlineStr">
        <is>
          <t>ДРБ/ДУП/ФД</t>
        </is>
      </c>
      <c r="J36" s="72" t="inlineStr">
        <is>
          <t>Григорий Манько</t>
        </is>
      </c>
      <c r="K36" s="72" t="n"/>
    </row>
    <row r="37" ht="45" customHeight="1">
      <c r="B37" s="76" t="inlineStr">
        <is>
          <t>Стоимость монтажных работ и услуг для запуска проекта</t>
        </is>
      </c>
      <c r="C37" s="76" t="inlineStr">
        <is>
          <t>Логистика</t>
        </is>
      </c>
      <c r="D37" t="inlineStr">
        <is>
          <t>CAPEX</t>
        </is>
      </c>
      <c r="E37" s="77" t="inlineStr">
        <is>
          <t>услуга</t>
        </is>
      </c>
      <c r="F37" s="78" t="n">
        <v>1200000</v>
      </c>
      <c r="G37" s="72" t="inlineStr">
        <is>
          <t>Никто (автоматом калькулятор Манько Г.)</t>
        </is>
      </c>
      <c r="H37" s="73" t="n">
        <v>1</v>
      </c>
      <c r="I37" s="72" t="inlineStr">
        <is>
          <t>ДРБ/ДУП/ФД</t>
        </is>
      </c>
      <c r="J37" s="72" t="inlineStr">
        <is>
          <t>Григорий Манько</t>
        </is>
      </c>
      <c r="K37" s="72" t="n"/>
    </row>
    <row r="38" ht="45" customHeight="1">
      <c r="B38" s="76" t="inlineStr">
        <is>
          <t>Стоимость монтажных работ и услуг для запуска проекта</t>
        </is>
      </c>
      <c r="C38" s="76" t="inlineStr">
        <is>
          <t>Независимая оценка</t>
        </is>
      </c>
      <c r="D38" t="inlineStr">
        <is>
          <t>CAPEX</t>
        </is>
      </c>
      <c r="E38" s="77" t="inlineStr">
        <is>
          <t>услуга</t>
        </is>
      </c>
      <c r="F38" s="78" t="n">
        <v>1200000</v>
      </c>
      <c r="G38" s="72" t="inlineStr">
        <is>
          <t>Никто (автоматом калькулятор Манько Г.)</t>
        </is>
      </c>
      <c r="H38" s="73" t="n">
        <v>1</v>
      </c>
      <c r="I38" s="72" t="inlineStr">
        <is>
          <t>ДРБ/ДУП/ФД</t>
        </is>
      </c>
      <c r="J38" s="72" t="inlineStr">
        <is>
          <t>Григорий Манько</t>
        </is>
      </c>
      <c r="K38" s="72" t="n"/>
    </row>
    <row r="39" ht="30" customHeight="1">
      <c r="B39" s="76" t="inlineStr">
        <is>
          <t>Аренда каналов связи</t>
        </is>
      </c>
      <c r="C39" s="76" t="n"/>
      <c r="E39" s="77" t="inlineStr">
        <is>
          <t>Кол-во мб на единицу</t>
        </is>
      </c>
      <c r="F39" s="78" t="inlineStr">
        <is>
          <t>Цена за 1 мб/сек, VPN</t>
        </is>
      </c>
      <c r="G39" s="72" t="inlineStr">
        <is>
          <t>Никто (автоматом калькулятор Манько Г.)</t>
        </is>
      </c>
      <c r="H39" s="73" t="n"/>
      <c r="I39" s="72" t="inlineStr">
        <is>
          <t>Григорий Манько</t>
        </is>
      </c>
      <c r="J39" s="72" t="inlineStr">
        <is>
          <t>Григорий Манько</t>
        </is>
      </c>
      <c r="K39" s="72" t="inlineStr">
        <is>
          <t>Никто (автоматом калькулятор Манько Г.)</t>
        </is>
      </c>
    </row>
    <row r="40" ht="30" customHeight="1">
      <c r="B40" s="76" t="inlineStr">
        <is>
          <t>Аренда каналов связи</t>
        </is>
      </c>
      <c r="C40" s="76" t="inlineStr">
        <is>
          <t>Канал передачи данных - Линейные</t>
        </is>
      </c>
      <c r="D40" t="inlineStr">
        <is>
          <t>OPEX</t>
        </is>
      </c>
      <c r="E40" s="77" t="n">
        <v>40</v>
      </c>
      <c r="F40" s="78" t="n">
        <v>1000</v>
      </c>
      <c r="G40" s="72" t="inlineStr">
        <is>
          <t>Никто (автоматом калькулятор Манько Г.)</t>
        </is>
      </c>
      <c r="H40" s="73" t="n"/>
      <c r="I40" s="72" t="inlineStr">
        <is>
          <t>Григорий Манько</t>
        </is>
      </c>
      <c r="J40" s="72" t="inlineStr">
        <is>
          <t>Григорий Манько</t>
        </is>
      </c>
      <c r="K40" s="72" t="inlineStr">
        <is>
          <t>Никто (автоматом калькулятор Манько Г.)</t>
        </is>
      </c>
    </row>
    <row r="41" ht="30" customHeight="1">
      <c r="B41" s="76" t="inlineStr">
        <is>
          <t>Аренда каналов связи</t>
        </is>
      </c>
      <c r="C41" s="76" t="inlineStr">
        <is>
          <t>Канал передачи данных - Перекрестки</t>
        </is>
      </c>
      <c r="D41" t="inlineStr">
        <is>
          <t>OPEX</t>
        </is>
      </c>
      <c r="E41" s="77" t="n">
        <v>70</v>
      </c>
      <c r="F41" s="78" t="n">
        <v>1000</v>
      </c>
      <c r="G41" s="72" t="inlineStr">
        <is>
          <t>Никто (автоматом калькулятор Манько Г.)</t>
        </is>
      </c>
      <c r="H41" s="73" t="n"/>
      <c r="I41" s="72" t="inlineStr">
        <is>
          <t>Григорий Манько</t>
        </is>
      </c>
      <c r="J41" s="72" t="inlineStr">
        <is>
          <t>Григорий Манько</t>
        </is>
      </c>
      <c r="K41" s="72" t="inlineStr">
        <is>
          <t>Никто (автоматом калькулятор Манько Г.)</t>
        </is>
      </c>
    </row>
    <row r="42" ht="30" customHeight="1">
      <c r="B42" s="76" t="inlineStr">
        <is>
          <t>Аренда каналов связи</t>
        </is>
      </c>
      <c r="C42" s="76" t="inlineStr">
        <is>
          <t>Канал передачи данных - Трассы</t>
        </is>
      </c>
      <c r="D42" t="inlineStr">
        <is>
          <t>OPEX</t>
        </is>
      </c>
      <c r="E42" s="77" t="n">
        <v>40</v>
      </c>
      <c r="F42" s="78" t="n">
        <v>1000</v>
      </c>
      <c r="G42" s="72" t="inlineStr">
        <is>
          <t>Никто (автоматом калькулятор Манько Г.)</t>
        </is>
      </c>
      <c r="H42" s="73" t="n"/>
      <c r="I42" s="72" t="inlineStr">
        <is>
          <t>Григорий Манько</t>
        </is>
      </c>
      <c r="J42" s="72" t="inlineStr">
        <is>
          <t>Григорий Манько</t>
        </is>
      </c>
      <c r="K42" s="72" t="inlineStr">
        <is>
          <t>Никто (автоматом калькулятор Манько Г.)</t>
        </is>
      </c>
    </row>
    <row r="43" ht="30" customHeight="1">
      <c r="B43" s="76" t="inlineStr">
        <is>
          <t>Аренда каналов связи</t>
        </is>
      </c>
      <c r="C43" s="76" t="inlineStr">
        <is>
          <t>Канал передачи данных - камеры ОВН</t>
        </is>
      </c>
      <c r="D43" t="inlineStr">
        <is>
          <t>OPEX</t>
        </is>
      </c>
      <c r="E43" s="77" t="n">
        <v>3</v>
      </c>
      <c r="F43" s="78" t="n">
        <v>1000</v>
      </c>
      <c r="G43" s="72" t="inlineStr">
        <is>
          <t>Никто (автоматом калькулятор Манько Г.)</t>
        </is>
      </c>
      <c r="H43" s="73" t="n"/>
      <c r="I43" s="72" t="inlineStr">
        <is>
          <t>Григорий Манько</t>
        </is>
      </c>
      <c r="J43" s="72" t="inlineStr">
        <is>
          <t>Григорий Манько</t>
        </is>
      </c>
      <c r="K43" s="72" t="inlineStr">
        <is>
          <t>Никто (автоматом калькулятор Манько Г.)</t>
        </is>
      </c>
    </row>
    <row r="44" ht="30" customHeight="1">
      <c r="B44" s="76" t="inlineStr">
        <is>
          <t>Аренда каналов связи</t>
        </is>
      </c>
      <c r="C44" s="76" t="inlineStr">
        <is>
          <t>Канал передачи данных - интеграция</t>
        </is>
      </c>
      <c r="D44" t="inlineStr">
        <is>
          <t>OPEX</t>
        </is>
      </c>
      <c r="E44" s="77" t="n">
        <v>2</v>
      </c>
      <c r="F44" s="78" t="n">
        <v>1000</v>
      </c>
      <c r="G44" s="72" t="inlineStr">
        <is>
          <t>Никто (автоматом калькулятор Манько Г.)</t>
        </is>
      </c>
      <c r="H44" s="73" t="n"/>
      <c r="I44" s="72" t="inlineStr">
        <is>
          <t>Григорий Манько</t>
        </is>
      </c>
      <c r="J44" s="72" t="inlineStr">
        <is>
          <t>Григорий Манько</t>
        </is>
      </c>
      <c r="K44" s="72" t="inlineStr">
        <is>
          <t>Никто (автоматом калькулятор Манько Г.)</t>
        </is>
      </c>
    </row>
    <row r="45" ht="30" customHeight="1">
      <c r="B45" s="76" t="inlineStr">
        <is>
          <t>Услуги сторонних организаций</t>
        </is>
      </c>
      <c r="C45" s="76" t="inlineStr">
        <is>
          <t>Техническое обслуживание серверов</t>
        </is>
      </c>
      <c r="D45" t="inlineStr">
        <is>
          <t>OPEX</t>
        </is>
      </c>
      <c r="E45" s="77" t="n">
        <v>1</v>
      </c>
      <c r="F45" s="78" t="n">
        <v>1787400</v>
      </c>
      <c r="G45" s="72" t="inlineStr">
        <is>
          <t>Исторические данные</t>
        </is>
      </c>
      <c r="H45" s="73" t="n"/>
      <c r="I45" s="72" t="inlineStr">
        <is>
          <t>Исторические данные</t>
        </is>
      </c>
      <c r="J45" s="72" t="inlineStr">
        <is>
          <t>Неизвестно</t>
        </is>
      </c>
      <c r="K45" s="72" t="inlineStr">
        <is>
          <t>Исторические данные</t>
        </is>
      </c>
    </row>
    <row r="46" ht="30" customHeight="1">
      <c r="B46" s="76" t="inlineStr">
        <is>
          <t>Услуги сторонних организаций</t>
        </is>
      </c>
      <c r="C46" s="76" t="inlineStr">
        <is>
          <t>Техническое обслуживание ЦОД</t>
        </is>
      </c>
      <c r="D46" t="inlineStr">
        <is>
          <t>OPEX</t>
        </is>
      </c>
      <c r="E46" s="77" t="n">
        <v>1</v>
      </c>
      <c r="F46" s="78" t="n">
        <v>500000</v>
      </c>
      <c r="G46" s="72" t="inlineStr">
        <is>
          <t>Исторические данные</t>
        </is>
      </c>
      <c r="H46" s="73" t="n"/>
      <c r="I46" s="72" t="inlineStr">
        <is>
          <t>Исторические данные</t>
        </is>
      </c>
      <c r="J46" s="72" t="inlineStr">
        <is>
          <t>Неизвестно</t>
        </is>
      </c>
      <c r="K46" s="72" t="inlineStr">
        <is>
          <t>Исторические данные</t>
        </is>
      </c>
    </row>
    <row r="47" ht="30" customHeight="1">
      <c r="B47" s="76" t="inlineStr">
        <is>
          <t>Услуги сторонних организаций</t>
        </is>
      </c>
      <c r="C47" s="76" t="inlineStr">
        <is>
          <t>Интернет 50 мбит/с в офис</t>
        </is>
      </c>
      <c r="D47" t="inlineStr">
        <is>
          <t>OPEX</t>
        </is>
      </c>
      <c r="E47" s="77" t="n">
        <v>1</v>
      </c>
      <c r="F47" s="78" t="n">
        <v>148400</v>
      </c>
      <c r="G47" s="72" t="inlineStr">
        <is>
          <t>Исторические данные</t>
        </is>
      </c>
      <c r="H47" s="73" t="n"/>
      <c r="I47" s="72" t="inlineStr">
        <is>
          <t>Исторические данные</t>
        </is>
      </c>
      <c r="J47" s="72" t="inlineStr">
        <is>
          <t>Неизвестно</t>
        </is>
      </c>
      <c r="K47" s="72" t="inlineStr">
        <is>
          <t>Исторические данные</t>
        </is>
      </c>
    </row>
    <row r="48" ht="30" customHeight="1">
      <c r="B48" s="76" t="inlineStr">
        <is>
          <t>Услуги сторонних организаций</t>
        </is>
      </c>
      <c r="C48" s="76" t="inlineStr">
        <is>
          <t>Интернет 100 мбит/с в ЦОД</t>
        </is>
      </c>
      <c r="D48" t="inlineStr">
        <is>
          <t>OPEX</t>
        </is>
      </c>
      <c r="E48" s="77" t="n">
        <v>1</v>
      </c>
      <c r="F48" s="78" t="n">
        <v>371000</v>
      </c>
      <c r="G48" s="72" t="inlineStr">
        <is>
          <t>Исторические данные</t>
        </is>
      </c>
      <c r="H48" s="73" t="n"/>
      <c r="I48" s="72" t="inlineStr">
        <is>
          <t>Исторические данные</t>
        </is>
      </c>
      <c r="J48" s="72" t="inlineStr">
        <is>
          <t>Неизвестно</t>
        </is>
      </c>
      <c r="K48" s="72" t="inlineStr">
        <is>
          <t>Исторические данные</t>
        </is>
      </c>
    </row>
    <row r="49" ht="30" customHeight="1">
      <c r="B49" s="76" t="inlineStr">
        <is>
          <t>Услуги сторонних организаций</t>
        </is>
      </c>
      <c r="C49" s="76" t="inlineStr">
        <is>
          <t>Поддержка и обновление программного обеспечения</t>
        </is>
      </c>
      <c r="D49" t="inlineStr">
        <is>
          <t>OPEX</t>
        </is>
      </c>
      <c r="E49" s="77" t="n">
        <v>1</v>
      </c>
      <c r="F49" s="78" t="n">
        <v>7500000</v>
      </c>
      <c r="G49" s="72" t="inlineStr">
        <is>
          <t>Исторические данные</t>
        </is>
      </c>
      <c r="H49" s="73" t="n"/>
      <c r="I49" s="72" t="inlineStr">
        <is>
          <t>Исторические данные</t>
        </is>
      </c>
      <c r="J49" s="72" t="inlineStr">
        <is>
          <t>Неизвестно</t>
        </is>
      </c>
      <c r="K49" s="72" t="inlineStr">
        <is>
          <t>Исторические данные</t>
        </is>
      </c>
    </row>
    <row r="50" ht="30" customHeight="1">
      <c r="B50" s="76" t="inlineStr">
        <is>
          <t>Услуги сторонних организаций</t>
        </is>
      </c>
      <c r="C50" s="76" t="inlineStr">
        <is>
          <t>Услуги VMS</t>
        </is>
      </c>
      <c r="D50" t="inlineStr">
        <is>
          <t>OPEX</t>
        </is>
      </c>
      <c r="E50" s="77" t="n">
        <v>1</v>
      </c>
      <c r="F50" s="78" t="n">
        <v>3500000</v>
      </c>
      <c r="G50" s="72" t="inlineStr">
        <is>
          <t>Исторические данные</t>
        </is>
      </c>
      <c r="H50" s="73" t="n"/>
      <c r="I50" s="72" t="inlineStr">
        <is>
          <t>Исторические данные</t>
        </is>
      </c>
      <c r="J50" s="72" t="inlineStr">
        <is>
          <t>Неизвестно</t>
        </is>
      </c>
      <c r="K50" s="72" t="inlineStr">
        <is>
          <t>Исторические данные</t>
        </is>
      </c>
    </row>
    <row r="51" ht="30" customHeight="1">
      <c r="B51" s="76" t="inlineStr">
        <is>
          <t>Услуги сторонних организаций</t>
        </is>
      </c>
      <c r="C51" s="76" t="inlineStr">
        <is>
          <t>Информационная безопасность</t>
        </is>
      </c>
      <c r="D51" t="inlineStr">
        <is>
          <t>OPEX</t>
        </is>
      </c>
      <c r="E51" s="77" t="n">
        <v>1</v>
      </c>
      <c r="F51" s="78" t="n">
        <v>3700000</v>
      </c>
      <c r="G51" s="72" t="inlineStr">
        <is>
          <t>Исторические данные</t>
        </is>
      </c>
      <c r="H51" s="73" t="n"/>
      <c r="I51" s="72" t="inlineStr">
        <is>
          <t>Исторические данные</t>
        </is>
      </c>
      <c r="J51" s="72" t="inlineStr">
        <is>
          <t>Неизвестно</t>
        </is>
      </c>
      <c r="K51" s="72" t="inlineStr">
        <is>
          <t>Исторические данные</t>
        </is>
      </c>
    </row>
    <row r="52" ht="45" customHeight="1">
      <c r="B52" s="76" t="inlineStr">
        <is>
          <t>Обслуживание АПК</t>
        </is>
      </c>
      <c r="C52" s="76" t="inlineStr">
        <is>
          <t>Обслуживание ЛУ</t>
        </is>
      </c>
      <c r="D52" t="inlineStr">
        <is>
          <t>OPEX</t>
        </is>
      </c>
      <c r="E52" s="77" t="n">
        <v>0</v>
      </c>
      <c r="F52" s="78" t="n">
        <v>36000</v>
      </c>
      <c r="G52" s="72" t="inlineStr">
        <is>
          <t>Никто (автоматом калькулятор Манько Г.)</t>
        </is>
      </c>
      <c r="H52" s="73" t="n"/>
      <c r="I52" s="72" t="inlineStr">
        <is>
          <t>Никто (автоматом калькулятор Манько Г.)</t>
        </is>
      </c>
      <c r="J52" s="72" t="inlineStr">
        <is>
          <t>Незивестно</t>
        </is>
      </c>
      <c r="K52" s="72" t="inlineStr">
        <is>
          <t>Никто (автоматом калькулятор Манько Г.)</t>
        </is>
      </c>
    </row>
    <row r="53" ht="45" customHeight="1">
      <c r="B53" s="76" t="inlineStr">
        <is>
          <t>Обслуживание АПК</t>
        </is>
      </c>
      <c r="C53" s="76" t="inlineStr">
        <is>
          <t>Обслуживание П</t>
        </is>
      </c>
      <c r="D53" t="inlineStr">
        <is>
          <t>OPEX</t>
        </is>
      </c>
      <c r="E53" s="77" t="n">
        <v>0</v>
      </c>
      <c r="F53" s="78" t="n">
        <v>65000</v>
      </c>
      <c r="G53" s="72" t="inlineStr">
        <is>
          <t>Никто (автоматом калькулятор Манько Г.)</t>
        </is>
      </c>
      <c r="H53" s="73" t="n"/>
      <c r="I53" s="72" t="inlineStr">
        <is>
          <t>Никто (автоматом калькулятор Манько Г.)</t>
        </is>
      </c>
      <c r="J53" s="72" t="inlineStr">
        <is>
          <t>Незивестно</t>
        </is>
      </c>
      <c r="K53" s="72" t="inlineStr">
        <is>
          <t>Никто (автоматом калькулятор Манько Г.)</t>
        </is>
      </c>
    </row>
    <row r="54" ht="45" customHeight="1">
      <c r="B54" s="76" t="inlineStr">
        <is>
          <t>Обслуживание АПК</t>
        </is>
      </c>
      <c r="C54" s="76" t="inlineStr">
        <is>
          <t>Обслуживание  АПК "Трассы"</t>
        </is>
      </c>
      <c r="D54" t="inlineStr">
        <is>
          <t>OPEX</t>
        </is>
      </c>
      <c r="E54" s="77" t="n">
        <v>500</v>
      </c>
      <c r="F54" s="78" t="n">
        <v>125000</v>
      </c>
      <c r="G54" s="72" t="inlineStr">
        <is>
          <t>Никто (автоматом калькулятор Манько Г.)</t>
        </is>
      </c>
      <c r="H54" s="73" t="n"/>
      <c r="I54" s="72" t="inlineStr">
        <is>
          <t>Никто (автоматом калькулятор Манько Г.)</t>
        </is>
      </c>
      <c r="J54" s="72" t="inlineStr">
        <is>
          <t>Незивестно</t>
        </is>
      </c>
      <c r="K54" s="72" t="inlineStr">
        <is>
          <t>Никто (автоматом калькулятор Манько Г.)</t>
        </is>
      </c>
    </row>
    <row r="55" ht="45" customHeight="1">
      <c r="B55" s="76" t="inlineStr">
        <is>
          <t>Обслуживание АПК</t>
        </is>
      </c>
      <c r="C55" s="76" t="inlineStr">
        <is>
          <t>Обслуживание ОВН</t>
        </is>
      </c>
      <c r="D55" t="inlineStr">
        <is>
          <t>OPEX</t>
        </is>
      </c>
      <c r="E55" s="77" t="n">
        <v>7000</v>
      </c>
      <c r="F55" s="78" t="n">
        <v>6000</v>
      </c>
      <c r="G55" s="72" t="inlineStr">
        <is>
          <t>Никто (автоматом калькулятор Манько Г.)</t>
        </is>
      </c>
      <c r="H55" s="73" t="n"/>
      <c r="I55" s="72" t="inlineStr">
        <is>
          <t>Никто (автоматом калькулятор Манько Г.)</t>
        </is>
      </c>
      <c r="J55" s="72" t="inlineStr">
        <is>
          <t>Незивестно</t>
        </is>
      </c>
      <c r="K55" s="72" t="inlineStr">
        <is>
          <t>Никто (автоматом калькулятор Манько Г.)</t>
        </is>
      </c>
    </row>
    <row r="56" ht="45" customHeight="1">
      <c r="B56" s="76" t="inlineStr">
        <is>
          <t>Обслуживание АПК</t>
        </is>
      </c>
      <c r="C56" s="76" t="inlineStr">
        <is>
          <t>Обслуживание  объекта интеграции</t>
        </is>
      </c>
      <c r="D56" t="inlineStr">
        <is>
          <t>OPEX</t>
        </is>
      </c>
      <c r="E56" s="77" t="n">
        <v>0</v>
      </c>
      <c r="F56" s="78" t="n">
        <v>3000</v>
      </c>
      <c r="G56" s="72" t="inlineStr">
        <is>
          <t>Никто (автоматом калькулятор Манько Г.)</t>
        </is>
      </c>
      <c r="H56" s="73" t="n"/>
      <c r="I56" s="72" t="inlineStr">
        <is>
          <t>Никто (автоматом калькулятор Манько Г.)</t>
        </is>
      </c>
      <c r="J56" s="72" t="inlineStr">
        <is>
          <t>Незивестно</t>
        </is>
      </c>
      <c r="K56" s="72" t="inlineStr">
        <is>
          <t>Никто (автоматом калькулятор Манько Г.)</t>
        </is>
      </c>
    </row>
    <row r="57" ht="45" customHeight="1">
      <c r="B57" s="76" t="inlineStr">
        <is>
          <t>Расчет затрат на аренду помещений</t>
        </is>
      </c>
      <c r="C57" s="76" t="inlineStr">
        <is>
          <t>Аренда помещения</t>
        </is>
      </c>
      <c r="D57" t="inlineStr">
        <is>
          <t>OPEX</t>
        </is>
      </c>
      <c r="E57" s="77" t="n"/>
      <c r="F57" s="78" t="n">
        <v>5000</v>
      </c>
      <c r="G57" s="72" t="inlineStr">
        <is>
          <t>Никто (автоматом калькулятор Манько Г.)</t>
        </is>
      </c>
      <c r="H57" s="73" t="n"/>
      <c r="I57" s="72" t="inlineStr">
        <is>
          <t>Никто (автоматом калькулятор Манько Г.)</t>
        </is>
      </c>
      <c r="J57" s="72" t="inlineStr">
        <is>
          <t>Незивестно</t>
        </is>
      </c>
      <c r="K57" s="72" t="inlineStr">
        <is>
          <t>Никто (автоматом калькулятор Манько Г.)</t>
        </is>
      </c>
    </row>
    <row r="58" ht="45" customHeight="1">
      <c r="B58" s="76" t="inlineStr">
        <is>
          <t>Расчет затрат на аренду помещений</t>
        </is>
      </c>
      <c r="C58" s="76" t="inlineStr">
        <is>
          <t>Аренда помещения ЦОД</t>
        </is>
      </c>
      <c r="D58" t="inlineStr">
        <is>
          <t>OPEX</t>
        </is>
      </c>
      <c r="E58" s="77" t="n"/>
      <c r="F58" s="78" t="n">
        <v>2000000</v>
      </c>
      <c r="G58" s="72" t="inlineStr">
        <is>
          <t>Никто (автоматом калькулятор Манько Г.)</t>
        </is>
      </c>
      <c r="H58" s="73" t="n"/>
      <c r="I58" s="72" t="inlineStr">
        <is>
          <t>Никто (автоматом калькулятор Манько Г.)</t>
        </is>
      </c>
      <c r="J58" s="72" t="inlineStr">
        <is>
          <t>Незивестно</t>
        </is>
      </c>
      <c r="K58" s="72" t="inlineStr">
        <is>
          <t>Никто (автоматом калькулятор Манько Г.)</t>
        </is>
      </c>
    </row>
    <row r="59" ht="45" customHeight="1">
      <c r="B59" s="76" t="inlineStr">
        <is>
          <t>Расчет затрат на аренду помещений</t>
        </is>
      </c>
      <c r="C59" s="76" t="inlineStr">
        <is>
          <t>Аренда точек подключения</t>
        </is>
      </c>
      <c r="D59" t="inlineStr">
        <is>
          <t>OPEX</t>
        </is>
      </c>
      <c r="E59" s="77" t="n"/>
      <c r="F59" s="78" t="n">
        <v>2000</v>
      </c>
      <c r="G59" s="72" t="inlineStr">
        <is>
          <t>Никто (автоматом калькулятор Манько Г.)</t>
        </is>
      </c>
      <c r="H59" s="73" t="n"/>
      <c r="I59" s="72" t="inlineStr">
        <is>
          <t>Никто (автоматом калькулятор Манько Г.)</t>
        </is>
      </c>
      <c r="J59" s="72" t="inlineStr">
        <is>
          <t>Незивестно</t>
        </is>
      </c>
      <c r="K59" s="72" t="inlineStr">
        <is>
          <t>Никто (автоматом калькулятор Манько Г.)</t>
        </is>
      </c>
    </row>
    <row r="60" ht="90" customHeight="1">
      <c r="B60" s="76" t="inlineStr">
        <is>
          <t>Экономические предположения</t>
        </is>
      </c>
      <c r="C60" s="76" t="n"/>
      <c r="E60" s="77" t="inlineStr">
        <is>
          <t>Ед.изм</t>
        </is>
      </c>
      <c r="F60" s="78" t="inlineStr">
        <is>
          <t>Цена за единицу с НДС</t>
        </is>
      </c>
      <c r="G60" s="72" t="inlineStr">
        <is>
          <t>Никто (автоматом калькулятор Манько Г.)</t>
        </is>
      </c>
      <c r="H60" s="73" t="inlineStr">
        <is>
          <t>Никто (автоматом калькулятор Манько Г.)</t>
        </is>
      </c>
      <c r="I60" s="72" t="inlineStr">
        <is>
          <t>Никто (автоматом калькулятор Манько Г.)</t>
        </is>
      </c>
      <c r="J60" s="72" t="inlineStr">
        <is>
          <t>Никто (автоматом калькулятор Манько Г.)</t>
        </is>
      </c>
      <c r="K60" s="72" t="inlineStr">
        <is>
          <t>Никто (автоматом калькулятор Манько Г.)</t>
        </is>
      </c>
    </row>
    <row r="61" ht="30" customHeight="1">
      <c r="B61" s="76" t="inlineStr">
        <is>
          <t>Экономические предположения</t>
        </is>
      </c>
      <c r="C61" s="76" t="inlineStr">
        <is>
          <t>Стоимость электроэнергии, тенге/кВт*ч, с учетом НДС</t>
        </is>
      </c>
      <c r="D61" t="inlineStr">
        <is>
          <t>OPEX</t>
        </is>
      </c>
      <c r="E61" s="77" t="inlineStr">
        <is>
          <t>кВт*ч</t>
        </is>
      </c>
      <c r="F61" s="78" t="n">
        <v>22.3</v>
      </c>
      <c r="G61" s="72" t="inlineStr">
        <is>
          <t>Никто (автоматом калькулятор Манько Г.)</t>
        </is>
      </c>
      <c r="H61" s="73" t="n"/>
      <c r="I61" s="72" t="inlineStr">
        <is>
          <t>Григорий Манько</t>
        </is>
      </c>
      <c r="J61" s="72" t="inlineStr">
        <is>
          <t>Григорий Манько</t>
        </is>
      </c>
      <c r="K61" s="72" t="inlineStr">
        <is>
          <t>Никто (автоматом калькулятор Манько Г.)</t>
        </is>
      </c>
    </row>
    <row r="62" ht="30" customHeight="1">
      <c r="B62" s="76" t="inlineStr">
        <is>
          <t>Экономические предположения</t>
        </is>
      </c>
      <c r="C62" s="76" t="inlineStr">
        <is>
          <t>Потребление энергии одной камерой, кВт</t>
        </is>
      </c>
      <c r="D62" t="inlineStr">
        <is>
          <t>OPEX</t>
        </is>
      </c>
      <c r="E62" s="77" t="inlineStr">
        <is>
          <t>кВт</t>
        </is>
      </c>
      <c r="F62" s="78" t="n">
        <v>0.04</v>
      </c>
      <c r="G62" s="72" t="inlineStr">
        <is>
          <t>Никто (автоматом калькулятор Манько Г.)</t>
        </is>
      </c>
      <c r="H62" s="73" t="n"/>
      <c r="I62" s="72" t="inlineStr">
        <is>
          <t>Григорий Манько</t>
        </is>
      </c>
      <c r="J62" s="72" t="inlineStr">
        <is>
          <t>Григорий Манько</t>
        </is>
      </c>
      <c r="K62" s="72" t="inlineStr">
        <is>
          <t>Неизвестно</t>
        </is>
      </c>
    </row>
    <row r="63" ht="30" customHeight="1">
      <c r="B63" s="76" t="inlineStr">
        <is>
          <t>Экономические предположения</t>
        </is>
      </c>
      <c r="C63" s="76" t="inlineStr">
        <is>
          <t xml:space="preserve">Автовышка в тенге/час </t>
        </is>
      </c>
      <c r="D63" t="inlineStr">
        <is>
          <t>OPEX</t>
        </is>
      </c>
      <c r="E63" s="77" t="inlineStr">
        <is>
          <t>час</t>
        </is>
      </c>
      <c r="F63" s="78" t="n">
        <v>8500</v>
      </c>
      <c r="G63" s="72" t="inlineStr">
        <is>
          <t>Никто (автоматом калькулятор Манько Г.)</t>
        </is>
      </c>
      <c r="H63" s="73" t="n"/>
      <c r="I63" s="72" t="inlineStr">
        <is>
          <t>Григорий Манько</t>
        </is>
      </c>
      <c r="J63" s="72" t="inlineStr">
        <is>
          <t>Григорий Манько</t>
        </is>
      </c>
      <c r="K63" s="72" t="inlineStr">
        <is>
          <t>Неизвестно</t>
        </is>
      </c>
    </row>
    <row r="64" ht="30" customHeight="1">
      <c r="B64" s="76" t="inlineStr">
        <is>
          <t>Экономические предположения</t>
        </is>
      </c>
      <c r="C64" s="76" t="inlineStr">
        <is>
          <t>Цена за 1 час инженера, тенге</t>
        </is>
      </c>
      <c r="D64" t="inlineStr">
        <is>
          <t>OPEX</t>
        </is>
      </c>
      <c r="E64" s="77" t="inlineStr">
        <is>
          <t>тенге</t>
        </is>
      </c>
      <c r="F64" s="78" t="n">
        <v>3100</v>
      </c>
      <c r="G64" s="72" t="inlineStr">
        <is>
          <t>Никто (автоматом калькулятор Манько Г.)</t>
        </is>
      </c>
      <c r="H64" s="73" t="n"/>
      <c r="I64" s="72" t="inlineStr">
        <is>
          <t>Григорий Манько</t>
        </is>
      </c>
      <c r="J64" s="72" t="inlineStr">
        <is>
          <t>Григорий Манько</t>
        </is>
      </c>
      <c r="K64" s="72" t="inlineStr">
        <is>
          <t>Неизвестно</t>
        </is>
      </c>
    </row>
    <row r="65" ht="30" customHeight="1">
      <c r="B65" s="76" t="inlineStr">
        <is>
          <t>Экономические предположения</t>
        </is>
      </c>
      <c r="C65" s="76" t="inlineStr">
        <is>
          <t>Цена за 1 час монтажной бригады, тенге</t>
        </is>
      </c>
      <c r="D65" t="inlineStr">
        <is>
          <t>OPEX</t>
        </is>
      </c>
      <c r="E65" s="77" t="inlineStr">
        <is>
          <t>монтажной бригады</t>
        </is>
      </c>
      <c r="F65" s="78" t="n">
        <v>3820</v>
      </c>
      <c r="G65" s="72" t="inlineStr">
        <is>
          <t>Никто (автоматом калькулятор Манько Г.)</t>
        </is>
      </c>
      <c r="H65" s="73" t="n"/>
      <c r="I65" s="72" t="inlineStr">
        <is>
          <t>Григорий Манько</t>
        </is>
      </c>
      <c r="J65" s="72" t="inlineStr">
        <is>
          <t>Григорий Манько</t>
        </is>
      </c>
      <c r="K65" s="72" t="inlineStr">
        <is>
          <t>Неизвестно</t>
        </is>
      </c>
    </row>
    <row r="66" ht="30" customHeight="1">
      <c r="B66" s="76" t="inlineStr">
        <is>
          <t>Экономические предположения</t>
        </is>
      </c>
      <c r="C66" s="76" t="inlineStr">
        <is>
          <t>Аренда помещения офиса за 1 кв.метр</t>
        </is>
      </c>
      <c r="D66" t="inlineStr">
        <is>
          <t>OPEX</t>
        </is>
      </c>
      <c r="E66" s="77" t="inlineStr">
        <is>
          <t>кв. метр</t>
        </is>
      </c>
      <c r="F66" s="78" t="n">
        <v>5000</v>
      </c>
      <c r="G66" s="72" t="inlineStr">
        <is>
          <t>Никто (автоматом калькулятор Манько Г.)</t>
        </is>
      </c>
      <c r="H66" s="73" t="n"/>
      <c r="I66" s="72" t="inlineStr">
        <is>
          <t>Григорий Манько</t>
        </is>
      </c>
      <c r="J66" s="72" t="inlineStr">
        <is>
          <t>Григорий Манько</t>
        </is>
      </c>
      <c r="K66" s="72" t="inlineStr">
        <is>
          <t>Неизвестно</t>
        </is>
      </c>
    </row>
    <row r="67" ht="30" customHeight="1">
      <c r="B67" s="76" t="inlineStr">
        <is>
          <t>Экономические предположения</t>
        </is>
      </c>
      <c r="C67" s="76" t="inlineStr">
        <is>
          <t>Аренда площади для размещения камер за 1 камеру</t>
        </is>
      </c>
      <c r="D67" t="inlineStr">
        <is>
          <t>OPEX</t>
        </is>
      </c>
      <c r="E67" s="77" t="n"/>
      <c r="F67" s="78" t="n">
        <v>2000</v>
      </c>
      <c r="G67" s="72" t="inlineStr">
        <is>
          <t>Никто (автоматом калькулятор Манько Г.)</t>
        </is>
      </c>
      <c r="H67" s="73" t="n"/>
      <c r="I67" s="72" t="inlineStr">
        <is>
          <t>Григорий Манько</t>
        </is>
      </c>
      <c r="J67" s="72" t="inlineStr">
        <is>
          <t>Григорий Манько</t>
        </is>
      </c>
      <c r="K67" s="72" t="inlineStr">
        <is>
          <t>Неизвестно</t>
        </is>
      </c>
    </row>
    <row r="68" ht="30" customHeight="1">
      <c r="B68" s="76" t="inlineStr">
        <is>
          <t>Экономические предположения</t>
        </is>
      </c>
      <c r="C68" s="76" t="inlineStr">
        <is>
          <t>Стоимость ГСМ</t>
        </is>
      </c>
      <c r="D68" t="inlineStr">
        <is>
          <t>OPEX</t>
        </is>
      </c>
      <c r="E68" s="77" t="inlineStr">
        <is>
          <t>л</t>
        </is>
      </c>
      <c r="F68" s="78" t="n">
        <v>320</v>
      </c>
      <c r="G68" s="72" t="inlineStr">
        <is>
          <t>Никто (автоматом калькулятор Манько Г.)</t>
        </is>
      </c>
      <c r="H68" s="73" t="n"/>
      <c r="I68" s="72" t="inlineStr">
        <is>
          <t>Григорий Манько</t>
        </is>
      </c>
      <c r="J68" s="72" t="inlineStr">
        <is>
          <t>Григорий Манько</t>
        </is>
      </c>
      <c r="K68" s="72" t="inlineStr">
        <is>
          <t>Неизвестно</t>
        </is>
      </c>
    </row>
    <row r="69" ht="30" customHeight="1">
      <c r="B69" s="76" t="inlineStr">
        <is>
          <t>Экономические предположения</t>
        </is>
      </c>
      <c r="C69" s="76" t="inlineStr">
        <is>
          <t>Канал передачи данных за 1 мбит/с</t>
        </is>
      </c>
      <c r="D69" t="inlineStr">
        <is>
          <t>OPEX</t>
        </is>
      </c>
      <c r="E69" s="77" t="inlineStr">
        <is>
          <t>мбит/с</t>
        </is>
      </c>
      <c r="F69" s="78" t="n">
        <v>1360</v>
      </c>
      <c r="G69" s="72" t="inlineStr">
        <is>
          <t>Никто (автоматом калькулятор Манько Г.)</t>
        </is>
      </c>
      <c r="H69" s="73" t="n"/>
      <c r="I69" s="72" t="inlineStr">
        <is>
          <t>Григорий Манько</t>
        </is>
      </c>
      <c r="J69" s="72" t="inlineStr">
        <is>
          <t>Григорий Манько</t>
        </is>
      </c>
      <c r="K69" s="72" t="inlineStr">
        <is>
          <t>Неизвестно</t>
        </is>
      </c>
    </row>
    <row r="70" ht="30" customHeight="1">
      <c r="B70" s="76" t="inlineStr">
        <is>
          <t>Экономические предположения</t>
        </is>
      </c>
      <c r="C70" s="76" t="inlineStr">
        <is>
          <t>Канал передачи данных ЦУ за 1 мбит/с</t>
        </is>
      </c>
      <c r="D70" t="inlineStr">
        <is>
          <t>OPEX</t>
        </is>
      </c>
      <c r="E70" s="77" t="inlineStr">
        <is>
          <t>мбит/с</t>
        </is>
      </c>
      <c r="F70" s="78" t="n">
        <v>1250</v>
      </c>
      <c r="G70" s="72" t="inlineStr">
        <is>
          <t>Никто (автоматом калькулятор Манько Г.)</t>
        </is>
      </c>
      <c r="H70" s="73" t="n"/>
      <c r="I70" s="72" t="inlineStr">
        <is>
          <t>Григорий Манько</t>
        </is>
      </c>
      <c r="J70" s="72" t="inlineStr">
        <is>
          <t>Григорий Манько</t>
        </is>
      </c>
      <c r="K70" s="72" t="inlineStr">
        <is>
          <t>Неизвестно</t>
        </is>
      </c>
    </row>
    <row r="71" ht="60" customHeight="1">
      <c r="B71" s="76" t="inlineStr">
        <is>
          <t>Расчет затрат по организации канала передачи данных и серверного обслуживания</t>
        </is>
      </c>
      <c r="C71" s="76" t="n"/>
      <c r="E71" s="77" t="n"/>
      <c r="F71" s="78" t="inlineStr">
        <is>
          <t>Цена в мес, тенге с НДС</t>
        </is>
      </c>
      <c r="G71" s="72" t="inlineStr">
        <is>
          <t>Никто (автоматом калькулятор Манько Г.)</t>
        </is>
      </c>
      <c r="H71" s="73" t="n"/>
      <c r="I71" s="72" t="inlineStr">
        <is>
          <t>Григорий Манько</t>
        </is>
      </c>
      <c r="J71" s="72" t="inlineStr">
        <is>
          <t>Григорий Манько</t>
        </is>
      </c>
      <c r="K71" s="72" t="inlineStr">
        <is>
          <t>Никто (автоматом калькулятор Манько Г.)</t>
        </is>
      </c>
    </row>
    <row r="72" ht="60" customHeight="1">
      <c r="B72" s="76" t="inlineStr">
        <is>
          <t>Расчет затрат по организации канала передачи данных и серверного обслуживания</t>
        </is>
      </c>
      <c r="C72" s="76" t="inlineStr">
        <is>
          <t>Канал передачи данных - камеры FIX</t>
        </is>
      </c>
      <c r="D72" t="inlineStr">
        <is>
          <t>OPEX</t>
        </is>
      </c>
      <c r="E72" s="77" t="inlineStr">
        <is>
          <t>камера</t>
        </is>
      </c>
      <c r="F72" s="78" t="n">
        <v>4760.000000000001</v>
      </c>
      <c r="G72" s="72" t="inlineStr">
        <is>
          <t>Никто (автоматом калькулятор Манько Г.)</t>
        </is>
      </c>
      <c r="H72" s="73" t="n"/>
      <c r="I72" s="72" t="inlineStr">
        <is>
          <t>Григорий Манько</t>
        </is>
      </c>
      <c r="J72" s="72" t="inlineStr">
        <is>
          <t>Григорий Манько</t>
        </is>
      </c>
      <c r="K72" s="72" t="inlineStr">
        <is>
          <t>Никто (автоматом калькулятор Манько Г.)</t>
        </is>
      </c>
    </row>
    <row r="73" ht="60" customHeight="1">
      <c r="B73" s="76" t="inlineStr">
        <is>
          <t>Расчет затрат по организации канала передачи данных и серверного обслуживания</t>
        </is>
      </c>
      <c r="C73" s="76" t="inlineStr">
        <is>
          <t>Канал передачи данных - камеры PTZ</t>
        </is>
      </c>
      <c r="D73" t="inlineStr">
        <is>
          <t>OPEX</t>
        </is>
      </c>
      <c r="E73" s="77" t="inlineStr">
        <is>
          <t>камера</t>
        </is>
      </c>
      <c r="F73" s="78" t="n">
        <v>4760.000000000001</v>
      </c>
      <c r="G73" s="72" t="inlineStr">
        <is>
          <t>Никто (автоматом калькулятор Манько Г.)</t>
        </is>
      </c>
      <c r="H73" s="73" t="n"/>
      <c r="I73" s="72" t="inlineStr">
        <is>
          <t>Григорий Манько</t>
        </is>
      </c>
      <c r="J73" s="72" t="inlineStr">
        <is>
          <t>Григорий Манько</t>
        </is>
      </c>
      <c r="K73" s="72" t="inlineStr">
        <is>
          <t>Никто (автоматом калькулятор Манько Г.)</t>
        </is>
      </c>
    </row>
    <row r="74" ht="60" customHeight="1">
      <c r="B74" s="76" t="inlineStr">
        <is>
          <t>Расчет затрат по организации канала передачи данных и серверного обслуживания</t>
        </is>
      </c>
      <c r="C74" s="76" t="inlineStr">
        <is>
          <t>Канал передачи данных - линейные</t>
        </is>
      </c>
      <c r="D74" t="inlineStr">
        <is>
          <t>OPEX</t>
        </is>
      </c>
      <c r="E74" s="77" t="inlineStr">
        <is>
          <t>комплекс</t>
        </is>
      </c>
      <c r="F74" s="78" t="n">
        <v>48960</v>
      </c>
      <c r="G74" s="72" t="inlineStr">
        <is>
          <t>Никто (автоматом калькулятор Манько Г.)</t>
        </is>
      </c>
      <c r="H74" s="73" t="n"/>
      <c r="I74" s="72" t="inlineStr">
        <is>
          <t>Григорий Манько</t>
        </is>
      </c>
      <c r="J74" s="72" t="inlineStr">
        <is>
          <t>Григорий Манько</t>
        </is>
      </c>
      <c r="K74" s="72" t="inlineStr">
        <is>
          <t>Никто (автоматом калькулятор Манько Г.)</t>
        </is>
      </c>
    </row>
    <row r="75" ht="60" customHeight="1">
      <c r="B75" s="76" t="inlineStr">
        <is>
          <t>Расчет затрат по организации канала передачи данных и серверного обслуживания</t>
        </is>
      </c>
      <c r="C75" s="76" t="inlineStr">
        <is>
          <t>Канал передачи данных - перекрестки</t>
        </is>
      </c>
      <c r="D75" t="inlineStr">
        <is>
          <t>OPEX</t>
        </is>
      </c>
      <c r="E75" s="77" t="inlineStr">
        <is>
          <t>комплекс</t>
        </is>
      </c>
      <c r="F75" s="78" t="n">
        <v>81600.00000000001</v>
      </c>
      <c r="G75" s="72" t="inlineStr">
        <is>
          <t>Никто (автоматом калькулятор Манько Г.)</t>
        </is>
      </c>
      <c r="H75" s="73" t="n"/>
      <c r="I75" s="72" t="inlineStr">
        <is>
          <t>Григорий Манько</t>
        </is>
      </c>
      <c r="J75" s="72" t="inlineStr">
        <is>
          <t>Григорий Манько</t>
        </is>
      </c>
      <c r="K75" s="72" t="inlineStr">
        <is>
          <t>Никто (автоматом калькулятор Манько Г.)</t>
        </is>
      </c>
    </row>
    <row r="76" ht="60" customHeight="1">
      <c r="B76" s="76" t="inlineStr">
        <is>
          <t>Расчет затрат по организации канала передачи данных и серверного обслуживания</t>
        </is>
      </c>
      <c r="C76" s="76" t="inlineStr">
        <is>
          <t>Техническое обслуживание ЦОДа</t>
        </is>
      </c>
      <c r="D76" t="inlineStr">
        <is>
          <t>OPEX</t>
        </is>
      </c>
      <c r="E76" s="77" t="inlineStr">
        <is>
          <t>комплекс</t>
        </is>
      </c>
      <c r="F76" s="78" t="n">
        <v>458000</v>
      </c>
      <c r="G76" s="72" t="inlineStr">
        <is>
          <t>Никто (автоматом калькулятор Манько Г.)</t>
        </is>
      </c>
      <c r="H76" s="73" t="n"/>
      <c r="I76" s="72" t="inlineStr">
        <is>
          <t>Григорий Манько</t>
        </is>
      </c>
      <c r="J76" s="72" t="inlineStr">
        <is>
          <t>Григорий Манько</t>
        </is>
      </c>
      <c r="K76" s="72" t="inlineStr">
        <is>
          <t>Никто (автоматом калькулятор Манько Г.)</t>
        </is>
      </c>
    </row>
    <row r="77" ht="60" customHeight="1">
      <c r="B77" s="76" t="inlineStr">
        <is>
          <t>Расчет затрат по организации канала передачи данных и серверного обслуживания</t>
        </is>
      </c>
      <c r="C77" s="76" t="inlineStr">
        <is>
          <t>Техническое обслуживание серверов</t>
        </is>
      </c>
      <c r="D77" t="inlineStr">
        <is>
          <t>OPEX</t>
        </is>
      </c>
      <c r="E77" s="77" t="inlineStr">
        <is>
          <t>комплекс</t>
        </is>
      </c>
      <c r="F77" s="78" t="n">
        <v>5000000</v>
      </c>
      <c r="G77" s="72" t="inlineStr">
        <is>
          <t>Никто (автоматом калькулятор Манько Г.)</t>
        </is>
      </c>
      <c r="H77" s="73" t="n"/>
      <c r="I77" s="72" t="inlineStr">
        <is>
          <t>Григорий Манько</t>
        </is>
      </c>
      <c r="J77" s="72" t="inlineStr">
        <is>
          <t>Григорий Манько</t>
        </is>
      </c>
      <c r="K77" s="72" t="inlineStr">
        <is>
          <t>Никто (автоматом калькулятор Манько Г.)</t>
        </is>
      </c>
    </row>
    <row r="78" ht="60" customHeight="1">
      <c r="B78" s="76" t="inlineStr">
        <is>
          <t>Расчет затрат по организации канала передачи данных и серверного обслуживания</t>
        </is>
      </c>
      <c r="C78" s="76" t="inlineStr">
        <is>
          <t>Интернет для ЦОДа</t>
        </is>
      </c>
      <c r="D78" t="inlineStr">
        <is>
          <t>OPEX</t>
        </is>
      </c>
      <c r="E78" s="77" t="inlineStr">
        <is>
          <t>штук</t>
        </is>
      </c>
      <c r="F78" s="78" t="n">
        <v>350000</v>
      </c>
      <c r="G78" s="72" t="inlineStr">
        <is>
          <t>Никто (автоматом калькулятор Манько Г.)</t>
        </is>
      </c>
      <c r="H78" s="73" t="n"/>
      <c r="I78" s="72" t="inlineStr">
        <is>
          <t>Григорий Манько</t>
        </is>
      </c>
      <c r="J78" s="72" t="inlineStr">
        <is>
          <t>Григорий Манько</t>
        </is>
      </c>
      <c r="K78" s="72" t="inlineStr">
        <is>
          <t>Никто (автоматом калькулятор Манько Г.)</t>
        </is>
      </c>
    </row>
    <row r="79" ht="60" customHeight="1">
      <c r="B79" s="76" t="inlineStr">
        <is>
          <t>Расчет затрат по организации канала передачи данных и серверного обслуживания</t>
        </is>
      </c>
      <c r="C79" s="76" t="inlineStr">
        <is>
          <t>Интернет в офис</t>
        </is>
      </c>
      <c r="D79" t="inlineStr">
        <is>
          <t>OPEX</t>
        </is>
      </c>
      <c r="E79" s="77" t="inlineStr">
        <is>
          <t>штук</t>
        </is>
      </c>
      <c r="F79" s="78" t="n">
        <v>140000</v>
      </c>
      <c r="G79" s="72" t="inlineStr">
        <is>
          <t>Никто (автоматом калькулятор Манько Г.)</t>
        </is>
      </c>
      <c r="H79" s="73" t="n"/>
      <c r="I79" s="72" t="inlineStr">
        <is>
          <t>Григорий Манько</t>
        </is>
      </c>
      <c r="J79" s="72" t="inlineStr">
        <is>
          <t>Григорий Манько</t>
        </is>
      </c>
      <c r="K79" s="72" t="inlineStr">
        <is>
          <t>Никто (автоматом калькулятор Манько Г.)</t>
        </is>
      </c>
    </row>
    <row r="80" ht="60" customHeight="1">
      <c r="B80" s="76" t="inlineStr">
        <is>
          <t>Расчет затрат по организации канала передачи данных и серверного обслуживания</t>
        </is>
      </c>
      <c r="C80" s="76" t="inlineStr">
        <is>
          <t>Поддержка и обновление программного обеспечения</t>
        </is>
      </c>
      <c r="D80" t="inlineStr">
        <is>
          <t>OPEX</t>
        </is>
      </c>
      <c r="E80" s="77" t="inlineStr">
        <is>
          <t>комплекс</t>
        </is>
      </c>
      <c r="F80" s="78" t="n">
        <v>7200000</v>
      </c>
      <c r="G80" s="72" t="inlineStr">
        <is>
          <t>Никто (автоматом калькулятор Манько Г.)</t>
        </is>
      </c>
      <c r="H80" s="73" t="n"/>
      <c r="I80" s="72" t="inlineStr">
        <is>
          <t>Григорий Манько</t>
        </is>
      </c>
      <c r="J80" s="72" t="inlineStr">
        <is>
          <t>Григорий Манько</t>
        </is>
      </c>
      <c r="K80" s="72" t="inlineStr">
        <is>
          <t>Никто (автоматом калькулятор Манько Г.)</t>
        </is>
      </c>
    </row>
    <row r="81" ht="60" customHeight="1">
      <c r="B81" s="76" t="inlineStr">
        <is>
          <t>Расчет затрат по организации канала передачи данных и серверного обслуживания</t>
        </is>
      </c>
      <c r="C81" s="76" t="inlineStr">
        <is>
          <t>продление подписки IPS</t>
        </is>
      </c>
      <c r="D81" t="inlineStr">
        <is>
          <t>OPEX</t>
        </is>
      </c>
      <c r="E81" s="77" t="inlineStr">
        <is>
          <t>штук</t>
        </is>
      </c>
      <c r="F81" s="78" t="n">
        <v>292000</v>
      </c>
      <c r="G81" s="72" t="inlineStr">
        <is>
          <t>Никто (автоматом калькулятор Манько Г.)</t>
        </is>
      </c>
      <c r="H81" s="73" t="n"/>
      <c r="I81" s="72" t="inlineStr">
        <is>
          <t>Григорий Манько</t>
        </is>
      </c>
      <c r="J81" s="72" t="inlineStr">
        <is>
          <t>Григорий Манько</t>
        </is>
      </c>
      <c r="K81" s="72" t="inlineStr">
        <is>
          <t>Никто (автоматом калькулятор Манько Г.)</t>
        </is>
      </c>
    </row>
    <row r="82" ht="60" customHeight="1">
      <c r="B82" s="76" t="inlineStr">
        <is>
          <t>Расчет затрат по организации канала передачи данных и серверного обслуживания</t>
        </is>
      </c>
      <c r="C82" s="76" t="inlineStr">
        <is>
          <t>Информационная безопасность</t>
        </is>
      </c>
      <c r="D82" t="inlineStr">
        <is>
          <t>OPEX</t>
        </is>
      </c>
      <c r="E82" s="77" t="inlineStr">
        <is>
          <t>комплекс</t>
        </is>
      </c>
      <c r="F82" s="78" t="n">
        <v>3684744.2</v>
      </c>
      <c r="G82" s="72" t="inlineStr">
        <is>
          <t>Никто (автоматом калькулятор Манько Г.)</t>
        </is>
      </c>
      <c r="H82" s="73" t="n"/>
      <c r="I82" s="72" t="inlineStr">
        <is>
          <t>Григорий Манько</t>
        </is>
      </c>
      <c r="J82" s="72" t="inlineStr">
        <is>
          <t>Григорий Манько</t>
        </is>
      </c>
      <c r="K82" s="72" t="inlineStr">
        <is>
          <t>Никто (автоматом калькулятор Манько Г.)</t>
        </is>
      </c>
    </row>
    <row r="83" ht="60" customHeight="1">
      <c r="B83" s="76" t="inlineStr">
        <is>
          <t xml:space="preserve">Расчет затрат, связанных с обслуживанием </t>
        </is>
      </c>
      <c r="C83" s="76" t="n"/>
      <c r="E83" s="77" t="n"/>
      <c r="F83" s="78" t="inlineStr">
        <is>
          <t>Цена за 1 час монтажной бригады + инженера</t>
        </is>
      </c>
      <c r="G83" s="72" t="inlineStr">
        <is>
          <t>Никто (автоматом калькулятор Манько Г.)</t>
        </is>
      </c>
      <c r="H83" s="73" t="n"/>
      <c r="I83" s="72" t="inlineStr">
        <is>
          <t>Никто (автоматом калькулятор Манько Г.)</t>
        </is>
      </c>
      <c r="J83" s="72" t="inlineStr">
        <is>
          <t>Григорий Манько</t>
        </is>
      </c>
      <c r="K83" s="72" t="inlineStr">
        <is>
          <t>Никто (автоматом калькулятор Манько Г.)</t>
        </is>
      </c>
    </row>
    <row r="84" ht="45" customHeight="1">
      <c r="B84" s="76" t="inlineStr">
        <is>
          <t xml:space="preserve">Расчет затрат, связанных с обслуживанием </t>
        </is>
      </c>
      <c r="C84" s="76" t="inlineStr">
        <is>
          <t>Юстировка (выбор угла обзора)</t>
        </is>
      </c>
      <c r="D84" t="inlineStr">
        <is>
          <t>OPEX</t>
        </is>
      </c>
      <c r="E84" s="77" t="inlineStr">
        <is>
          <t>час</t>
        </is>
      </c>
      <c r="F84" s="78" t="n">
        <v>6920</v>
      </c>
      <c r="G84" s="72" t="inlineStr">
        <is>
          <t>Никто (автоматом калькулятор Манько Г.)</t>
        </is>
      </c>
      <c r="H84" s="73" t="n"/>
      <c r="I84" s="72" t="inlineStr">
        <is>
          <t>Никто (автоматом калькулятор Манько Г.)</t>
        </is>
      </c>
      <c r="J84" s="72" t="inlineStr">
        <is>
          <t>Григорий Манько</t>
        </is>
      </c>
      <c r="K84" s="72" t="inlineStr">
        <is>
          <t>Никто (автоматом калькулятор Манько Г.)</t>
        </is>
      </c>
    </row>
    <row r="85" ht="45" customHeight="1">
      <c r="B85" s="76" t="inlineStr">
        <is>
          <t xml:space="preserve">Расчет затрат, связанных с обслуживанием </t>
        </is>
      </c>
      <c r="C85" s="76" t="inlineStr">
        <is>
          <t>Чистка от грязи</t>
        </is>
      </c>
      <c r="D85" t="inlineStr">
        <is>
          <t>OPEX</t>
        </is>
      </c>
      <c r="E85" s="77" t="inlineStr">
        <is>
          <t>час</t>
        </is>
      </c>
      <c r="F85" s="78" t="n">
        <v>6920</v>
      </c>
      <c r="G85" s="72" t="inlineStr">
        <is>
          <t>Никто (автоматом калькулятор Манько Г.)</t>
        </is>
      </c>
      <c r="H85" s="73" t="n"/>
      <c r="I85" s="72" t="inlineStr">
        <is>
          <t>Никто (автоматом калькулятор Манько Г.)</t>
        </is>
      </c>
      <c r="J85" s="72" t="inlineStr">
        <is>
          <t>Григорий Манько</t>
        </is>
      </c>
      <c r="K85" s="72" t="inlineStr">
        <is>
          <t>Никто (автоматом калькулятор Манько Г.)</t>
        </is>
      </c>
    </row>
    <row r="86" ht="45" customHeight="1">
      <c r="B86" s="76" t="inlineStr">
        <is>
          <t xml:space="preserve">Расчет затрат, связанных с обслуживанием </t>
        </is>
      </c>
      <c r="C86" s="76" t="inlineStr">
        <is>
          <t>Замена модулей (аккумулятор и прочие)</t>
        </is>
      </c>
      <c r="D86" t="inlineStr">
        <is>
          <t>OPEX</t>
        </is>
      </c>
      <c r="E86" s="77" t="inlineStr">
        <is>
          <t>час</t>
        </is>
      </c>
      <c r="F86" s="78" t="n">
        <v>6920</v>
      </c>
      <c r="G86" s="72" t="inlineStr">
        <is>
          <t>Никто (автоматом калькулятор Манько Г.)</t>
        </is>
      </c>
      <c r="H86" s="73" t="n"/>
      <c r="I86" s="72" t="inlineStr">
        <is>
          <t>Никто (автоматом калькулятор Манько Г.)</t>
        </is>
      </c>
      <c r="J86" s="72" t="inlineStr">
        <is>
          <t>Григорий Манько</t>
        </is>
      </c>
      <c r="K86" s="72" t="inlineStr">
        <is>
          <t>Никто (автоматом калькулятор Манько Г.)</t>
        </is>
      </c>
    </row>
    <row r="87" ht="45" customHeight="1">
      <c r="B87" s="76" t="inlineStr">
        <is>
          <t xml:space="preserve">Расчет затрат, связанных с обслуживанием </t>
        </is>
      </c>
      <c r="C87" s="76" t="inlineStr">
        <is>
          <t>Непредвиденные работы (отключение, ДТП, тех работы, третьи лица, и т.д.)</t>
        </is>
      </c>
      <c r="D87" t="inlineStr">
        <is>
          <t>OPEX</t>
        </is>
      </c>
      <c r="E87" s="77" t="inlineStr">
        <is>
          <t>час</t>
        </is>
      </c>
      <c r="F87" s="78" t="n">
        <v>6920</v>
      </c>
      <c r="G87" s="72" t="inlineStr">
        <is>
          <t>Никто (автоматом калькулятор Манько Г.)</t>
        </is>
      </c>
      <c r="H87" s="73" t="n"/>
      <c r="I87" s="72" t="inlineStr">
        <is>
          <t>Никто (автоматом калькулятор Манько Г.)</t>
        </is>
      </c>
      <c r="J87" s="72" t="inlineStr">
        <is>
          <t>Григорий Манько</t>
        </is>
      </c>
      <c r="K87" s="72" t="inlineStr">
        <is>
          <t>Никто (автоматом калькулятор Манько Г.)</t>
        </is>
      </c>
    </row>
    <row r="88">
      <c r="B88" t="inlineStr">
        <is>
          <t>Экономические предположения</t>
        </is>
      </c>
      <c r="C88" t="inlineStr">
        <is>
          <t>Билеты (ж.д. сообщение, плацкарт, 2 направления)</t>
        </is>
      </c>
      <c r="D88" t="inlineStr">
        <is>
          <t>OPEX</t>
        </is>
      </c>
      <c r="L88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88" t="n">
        <v>15</v>
      </c>
    </row>
    <row r="89">
      <c r="B89" t="inlineStr">
        <is>
          <t>Экономические предположения</t>
        </is>
      </c>
      <c r="C89" t="inlineStr">
        <is>
          <t>Билеты (ж.д. сообщение, купе, 2 направления)</t>
        </is>
      </c>
      <c r="D89" t="inlineStr">
        <is>
          <t>OPEX</t>
        </is>
      </c>
      <c r="L89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89" t="n">
        <v>15</v>
      </c>
    </row>
    <row r="90">
      <c r="B90" t="inlineStr">
        <is>
          <t>Экономические предположения</t>
        </is>
      </c>
      <c r="C90" t="inlineStr">
        <is>
          <t>Билеты (авиа сообщение,  2 направления)</t>
        </is>
      </c>
      <c r="D90" t="inlineStr">
        <is>
          <t>OPEX</t>
        </is>
      </c>
      <c r="L90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0" t="n">
        <v>15</v>
      </c>
    </row>
    <row r="91">
      <c r="B91" t="inlineStr">
        <is>
          <t>Экономические предположения</t>
        </is>
      </c>
      <c r="C91" t="inlineStr">
        <is>
          <t>Проживание (сутки гостиница для производств.сотрудников)</t>
        </is>
      </c>
      <c r="D91" t="inlineStr">
        <is>
          <t>OPEX</t>
        </is>
      </c>
      <c r="L91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1" t="n">
        <v>15</v>
      </c>
    </row>
    <row r="92">
      <c r="B92" t="inlineStr">
        <is>
          <t>Экономические предположения</t>
        </is>
      </c>
      <c r="C92" t="inlineStr">
        <is>
          <t>Проживание (сутки гостиница для АУП)</t>
        </is>
      </c>
      <c r="D92" t="inlineStr">
        <is>
          <t>OPEX</t>
        </is>
      </c>
      <c r="L92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2" t="n">
        <v>15</v>
      </c>
    </row>
    <row r="93">
      <c r="B93" t="inlineStr">
        <is>
          <t>Экономические предположения</t>
        </is>
      </c>
      <c r="C93" t="inlineStr">
        <is>
          <t>Суточные (6 мрп)</t>
        </is>
      </c>
      <c r="D93" t="inlineStr">
        <is>
          <t>OPEX</t>
        </is>
      </c>
      <c r="L93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3" t="n">
        <v>15</v>
      </c>
    </row>
    <row r="94">
      <c r="B94" t="inlineStr">
        <is>
          <t>7. Расчет экспл.расх</t>
        </is>
      </c>
      <c r="C94" t="inlineStr">
        <is>
          <t>ДТ для ДГУ</t>
        </is>
      </c>
      <c r="D94" t="inlineStr">
        <is>
          <t>OPEX</t>
        </is>
      </c>
      <c r="L94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4" t="n">
        <v>14</v>
      </c>
    </row>
    <row r="95">
      <c r="B95" t="inlineStr">
        <is>
          <t>Экономические предположения</t>
        </is>
      </c>
      <c r="C95" t="inlineStr">
        <is>
          <t>Охрана</t>
        </is>
      </c>
      <c r="D95" t="inlineStr">
        <is>
          <t>OPEX</t>
        </is>
      </c>
      <c r="L95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5" t="n">
        <v>14</v>
      </c>
    </row>
    <row r="96">
      <c r="B96" t="inlineStr">
        <is>
          <t>Экономические предположения</t>
        </is>
      </c>
      <c r="C96" t="inlineStr">
        <is>
          <t>Канц. Товары</t>
        </is>
      </c>
      <c r="D96" t="inlineStr">
        <is>
          <t>OPEX</t>
        </is>
      </c>
      <c r="L96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6" t="n">
        <v>14</v>
      </c>
    </row>
    <row r="97">
      <c r="B97" t="inlineStr">
        <is>
          <t>Экономические предположения</t>
        </is>
      </c>
      <c r="C97" t="inlineStr">
        <is>
          <t>Хоз. Товары</t>
        </is>
      </c>
      <c r="D97" t="inlineStr">
        <is>
          <t>OPEX</t>
        </is>
      </c>
      <c r="L97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7" t="n">
        <v>14</v>
      </c>
    </row>
    <row r="98">
      <c r="B98" t="inlineStr">
        <is>
          <t>Экономические предположения</t>
        </is>
      </c>
      <c r="C98" t="inlineStr">
        <is>
          <t>Клининговые услуги</t>
        </is>
      </c>
      <c r="D98" t="inlineStr">
        <is>
          <t>OPEX</t>
        </is>
      </c>
      <c r="L98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98" t="n">
        <v>13</v>
      </c>
    </row>
    <row r="99">
      <c r="B99" t="inlineStr">
        <is>
          <t>Экономические предположения</t>
        </is>
      </c>
      <c r="C99" t="inlineStr">
        <is>
          <t>ГСМ для сотрудников</t>
        </is>
      </c>
      <c r="D99" t="inlineStr">
        <is>
          <t>OPEX</t>
        </is>
      </c>
      <c r="L99" t="inlineStr">
        <is>
          <t>4. Шу_ФЭМ.xlsx::5. Экспл; Прил_ФЭМ_Алм_обл_расширение_тарифы_для_3_ПК_19_03_2025_1.xlsx::5. Экспл; ФЭМ ДС №2 Алмобл 26.02 .xlsx::5. Экспл; ФЭМ Туркестан фин 04.11.2025.xlsx::5. Экспл; ФЭМ №1 (Павлодар).xlsx::5. Экспл</t>
        </is>
      </c>
      <c r="M99" t="n">
        <v>12</v>
      </c>
    </row>
    <row r="100">
      <c r="B100" t="inlineStr">
        <is>
          <t>Оснащение рабочих мест Ситуационного центра</t>
        </is>
      </c>
      <c r="C100" t="inlineStr">
        <is>
          <t>Оснащение оборудованием ситуационного центра</t>
        </is>
      </c>
      <c r="D100" t="inlineStr">
        <is>
          <t>CAPEX</t>
        </is>
      </c>
      <c r="L100" t="inlineStr">
        <is>
          <t>4. Шу_ФЭМ.xlsx::3. Инвест; Прил_ФЭМ_Алм_обл_расширение_тарифы_для_3_ПК_19_03_2025_1.xlsx::3. Инвест; ФЭМ ДС №2 Алмобл 26.02 .xlsx::3. Инвест; ФЭМ №1 (Павлодар).xlsx::3. Инвест; ФЭМ №2 (Павлодар).xlsx::3. Инвест</t>
        </is>
      </c>
      <c r="M100" t="n">
        <v>9</v>
      </c>
    </row>
    <row r="101">
      <c r="B101" t="inlineStr">
        <is>
          <t>Инвест</t>
        </is>
      </c>
      <c r="C101" t="inlineStr">
        <is>
          <t>Метеостанция: PM 2.5, PM10, ветер, температура, осадки</t>
        </is>
      </c>
      <c r="D101" t="inlineStr">
        <is>
          <t>CAPEX</t>
        </is>
      </c>
      <c r="L101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101" t="n">
        <v>7</v>
      </c>
    </row>
    <row r="102">
      <c r="B102" t="inlineStr">
        <is>
          <t>Инвест</t>
        </is>
      </c>
      <c r="C102" t="inlineStr">
        <is>
          <t>Планшет, принтер, ПО</t>
        </is>
      </c>
      <c r="D102" t="inlineStr">
        <is>
          <t>CAPEX</t>
        </is>
      </c>
      <c r="L102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102" t="n">
        <v>7</v>
      </c>
    </row>
    <row r="103">
      <c r="B103" t="inlineStr">
        <is>
          <t>Стоимость монтажных работ и услуг для запуска проекта</t>
        </is>
      </c>
      <c r="C103" t="inlineStr">
        <is>
          <t>Затраты на оборудование для интеграции на 1 существующую камеру</t>
        </is>
      </c>
      <c r="D103" t="inlineStr">
        <is>
          <t>CAPEX</t>
        </is>
      </c>
      <c r="L103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103" t="n">
        <v>6</v>
      </c>
    </row>
    <row r="104">
      <c r="B104" t="inlineStr">
        <is>
          <t>Аппаратно-программные комплексы "Сергек"</t>
        </is>
      </c>
      <c r="C104" t="inlineStr">
        <is>
          <t>АПК "Сергек.Линейный"</t>
        </is>
      </c>
      <c r="D104" t="inlineStr">
        <is>
          <t>CAPEX</t>
        </is>
      </c>
      <c r="L104" t="inlineStr">
        <is>
          <t>2_ФЭМ_Костанай_3,5млрд_v3_в_коротком_виде2.xlsx::4.CAPEX; 2_ФЭМ_Костанай_3,5млрд_v3_в_коротком_виде2.xlsx::7. Расчет экспл.расх; ФЭМ Костанай.xlsx::7. Расчет экспл.расх</t>
        </is>
      </c>
      <c r="M104" t="n">
        <v>5</v>
      </c>
    </row>
    <row r="105">
      <c r="B105" t="inlineStr">
        <is>
          <t>Аппаратно-программные комплексы "Сергек"</t>
        </is>
      </c>
      <c r="C105" t="inlineStr">
        <is>
          <t>АПК "Сергек.Перекресток"</t>
        </is>
      </c>
      <c r="D105" t="inlineStr">
        <is>
          <t>CAPEX</t>
        </is>
      </c>
      <c r="L105" t="inlineStr">
        <is>
          <t>2_ФЭМ_Костанай_3,5млрд_v3_в_коротком_виде2.xlsx::4.CAPEX; 2_ФЭМ_Костанай_3,5млрд_v3_в_коротком_виде2.xlsx::7. Расчет экспл.расх; ФЭМ Костанай.xlsx::7. Расчет экспл.расх</t>
        </is>
      </c>
      <c r="M105" t="n">
        <v>5</v>
      </c>
    </row>
    <row r="106">
      <c r="B106" t="inlineStr">
        <is>
          <t>Стоимость монтажных работ и услуг для запуска проекта</t>
        </is>
      </c>
      <c r="C106" t="inlineStr">
        <is>
          <t>монтаж оборудования для интеграции</t>
        </is>
      </c>
      <c r="D106" t="inlineStr">
        <is>
          <t>CAPEX</t>
        </is>
      </c>
      <c r="L106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106" t="n">
        <v>5</v>
      </c>
    </row>
    <row r="107">
      <c r="B107" t="inlineStr">
        <is>
          <t>7. Расчет экспл.расх</t>
        </is>
      </c>
      <c r="C107" t="inlineStr">
        <is>
          <t>Канал передачи данных - центральный узел</t>
        </is>
      </c>
      <c r="D107" t="inlineStr">
        <is>
          <t>OPEX</t>
        </is>
      </c>
      <c r="L107" t="inlineStr">
        <is>
          <t>2_ФЭМ_Костанай_3,5млрд_v3_в_коротком_виде2.xlsx::7. Расчет экспл.расх; ФЭМ Костанай.xlsx::7. Расчет экспл.расх; ФЭМ №1 (Павлодар).xlsx::5. Экспл; ФЭМ_Туркестан_1006.xlsx::Экспл</t>
        </is>
      </c>
      <c r="M107" t="n">
        <v>4</v>
      </c>
    </row>
    <row r="108">
      <c r="B108" t="inlineStr">
        <is>
          <t>Оснащение рабочих мест Ситуационного центра</t>
        </is>
      </c>
      <c r="C108" t="inlineStr">
        <is>
          <t>Мобильное рабочее место + лицензия MDM</t>
        </is>
      </c>
      <c r="D108" t="inlineStr">
        <is>
          <t>CAPEX</t>
        </is>
      </c>
      <c r="L108" t="inlineStr">
        <is>
          <t>4. Шу_ФЭМ.xlsx::3. Инвест; ФЭМ_проекта_Жетысу_final.xlsx::3. Инвест; ФЭМ_проекта_Кульсары_Расширение_новый_состав_1_8.xlsx::3. Инвест; ФЭМ_проекта_Курмангазы v.8.xlsx::3. Инвест</t>
        </is>
      </c>
      <c r="M108" t="n">
        <v>4</v>
      </c>
    </row>
    <row r="109">
      <c r="B109" t="inlineStr">
        <is>
          <t>Центр обработки и анализа данных</t>
        </is>
      </c>
      <c r="C109" t="inlineStr">
        <is>
          <t>Система серверов процессинга и аналитики, включая ПО</t>
        </is>
      </c>
      <c r="D109" t="inlineStr">
        <is>
          <t>CAPEX</t>
        </is>
      </c>
      <c r="L109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109" t="n">
        <v>4</v>
      </c>
    </row>
    <row r="110">
      <c r="B110" t="inlineStr">
        <is>
          <t>Центр обработки и анализа данных</t>
        </is>
      </c>
      <c r="C110" t="inlineStr">
        <is>
          <t>Система серверов хранения данных, включая ПО</t>
        </is>
      </c>
      <c r="D110" t="inlineStr">
        <is>
          <t>CAPEX</t>
        </is>
      </c>
      <c r="L110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110" t="n">
        <v>4</v>
      </c>
    </row>
    <row r="111">
      <c r="B111" t="inlineStr">
        <is>
          <t>Стоимость монтажных работ и услуг для запуска проекта</t>
        </is>
      </c>
      <c r="C111" t="inlineStr">
        <is>
          <t>монтаж оборудования линейных участков</t>
        </is>
      </c>
      <c r="D111" t="inlineStr">
        <is>
          <t>CAPEX</t>
        </is>
      </c>
      <c r="L111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111" t="n">
        <v>4</v>
      </c>
    </row>
    <row r="112">
      <c r="B112" t="inlineStr">
        <is>
          <t>Стоимость монтажных работ и услуг для запуска проекта</t>
        </is>
      </c>
      <c r="C112" t="inlineStr">
        <is>
          <t>монтаж оборудования перекрестков</t>
        </is>
      </c>
      <c r="D112" t="inlineStr">
        <is>
          <t>CAPEX</t>
        </is>
      </c>
      <c r="L112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112" t="n">
        <v>4</v>
      </c>
    </row>
    <row r="113">
      <c r="B113" t="inlineStr">
        <is>
          <t>4.CAPEX</t>
        </is>
      </c>
      <c r="C113" t="inlineStr">
        <is>
          <t>Инструменты и средства индивидуальной защиты</t>
        </is>
      </c>
      <c r="D113" t="inlineStr">
        <is>
          <t>CAPEX</t>
        </is>
      </c>
      <c r="L113" t="inlineStr">
        <is>
          <t>2_ФЭМ_Костанай_3,5млрд_v3_в_коротком_виде2.xlsx::4.CAPEX; ФЭМ №1 (Павлодар).xlsx::3. Инвест; ФЭМ №2 (Павлодар).xlsx::3. Инвест</t>
        </is>
      </c>
      <c r="M113" t="n">
        <v>3</v>
      </c>
    </row>
    <row r="114">
      <c r="B114" t="inlineStr">
        <is>
          <t>Аппаратно-программные комплексы "Сергек"</t>
        </is>
      </c>
      <c r="C114" t="inlineStr">
        <is>
          <t>Аппаратно-программный комплекс на линейном участке</t>
        </is>
      </c>
      <c r="D114" t="inlineStr">
        <is>
          <t>CAPEX</t>
        </is>
      </c>
      <c r="L114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114" t="n">
        <v>3</v>
      </c>
    </row>
    <row r="115">
      <c r="B115" t="inlineStr">
        <is>
          <t>Аппаратно-программные комплексы "Сергек"</t>
        </is>
      </c>
      <c r="C115" t="inlineStr">
        <is>
          <t>Аппаратно-программный комплекс на перекрестке</t>
        </is>
      </c>
      <c r="D115" t="inlineStr">
        <is>
          <t>CAPEX</t>
        </is>
      </c>
      <c r="L115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115" t="n">
        <v>3</v>
      </c>
    </row>
    <row r="116">
      <c r="B116" t="inlineStr">
        <is>
          <t>Аппаратно-программные комплексы "Сергек"</t>
        </is>
      </c>
      <c r="C116" t="inlineStr">
        <is>
          <t>Мобильное рабочее место</t>
        </is>
      </c>
      <c r="D116" t="inlineStr">
        <is>
          <t>CAPEX</t>
        </is>
      </c>
      <c r="L116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116" t="n">
        <v>3</v>
      </c>
    </row>
    <row r="117">
      <c r="B117" t="inlineStr">
        <is>
          <t>Инструменты и средства индивидуальной защиты</t>
        </is>
      </c>
      <c r="C117" t="inlineStr">
        <is>
          <t>Мобильный интеллектуальный АПК</t>
        </is>
      </c>
      <c r="D117" t="inlineStr">
        <is>
          <t>CAPEX</t>
        </is>
      </c>
      <c r="L117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117" t="n">
        <v>3</v>
      </c>
    </row>
    <row r="118">
      <c r="B118" t="inlineStr">
        <is>
          <t>Инструменты и средства индивидуальной защиты</t>
        </is>
      </c>
      <c r="C118" t="inlineStr">
        <is>
          <t>Транспортный двойник города</t>
        </is>
      </c>
      <c r="D118" t="inlineStr">
        <is>
          <t>CAPEX</t>
        </is>
      </c>
      <c r="L118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118" t="n">
        <v>3</v>
      </c>
    </row>
    <row r="119">
      <c r="B119" t="inlineStr">
        <is>
          <t>Экспл</t>
        </is>
      </c>
      <c r="C119" t="inlineStr">
        <is>
          <t>Аренда ЦОД</t>
        </is>
      </c>
      <c r="D119" t="inlineStr">
        <is>
          <t>OPEX</t>
        </is>
      </c>
      <c r="L119" t="inlineStr">
        <is>
          <t>ФЭМ ИТОГ до ноября24.xlsx::Экспл; ФЭМ_Астана (4).xlsx::Экспл</t>
        </is>
      </c>
      <c r="M119" t="n">
        <v>3</v>
      </c>
    </row>
    <row r="120">
      <c r="B120" t="inlineStr">
        <is>
          <t>Экспл</t>
        </is>
      </c>
      <c r="C120" t="inlineStr">
        <is>
          <t>Коммунальные расходы (электроэнергия)</t>
        </is>
      </c>
      <c r="D120" t="inlineStr">
        <is>
          <t>OPEX</t>
        </is>
      </c>
      <c r="L120" t="inlineStr">
        <is>
          <t>ФЭМ ИТОГ до ноября24.xlsx::Экспл; ФЭМ_Астана (4).xlsx::Экспл</t>
        </is>
      </c>
      <c r="M120" t="n">
        <v>3</v>
      </c>
    </row>
    <row r="121">
      <c r="B121" t="inlineStr">
        <is>
          <t>Центр обработки и анализа данных</t>
        </is>
      </c>
      <c r="C121" t="inlineStr">
        <is>
          <t>Сервера хранения данных, 1 ПТб</t>
        </is>
      </c>
      <c r="D121" t="inlineStr">
        <is>
          <t>CAPEX</t>
        </is>
      </c>
      <c r="L121" t="inlineStr">
        <is>
          <t>ФЭМ_Атырау.xlsx::Инвест</t>
        </is>
      </c>
      <c r="M121" t="n">
        <v>3</v>
      </c>
    </row>
    <row r="122">
      <c r="B122" t="inlineStr">
        <is>
          <t>Инвест</t>
        </is>
      </c>
      <c r="C122" t="inlineStr">
        <is>
          <t>Расходные материалы на подключение к сети</t>
        </is>
      </c>
      <c r="D122" t="inlineStr">
        <is>
          <t>CAPEX</t>
        </is>
      </c>
      <c r="L122" t="inlineStr">
        <is>
          <t>ФЭМ_Атырау.xlsx::Инвест</t>
        </is>
      </c>
      <c r="M122" t="n">
        <v>3</v>
      </c>
    </row>
    <row r="123">
      <c r="B123" t="inlineStr">
        <is>
          <t>Аппаратно-программные комплексы "Сергек"</t>
        </is>
      </c>
      <c r="C123" t="inlineStr">
        <is>
          <t>Аппаратно-программный комплек "Сергек. Патруль BOX"</t>
        </is>
      </c>
      <c r="D123" t="inlineStr">
        <is>
          <t>CAPEX</t>
        </is>
      </c>
      <c r="L123" t="inlineStr">
        <is>
          <t>ФЭМ_проекта_Жетысу_final.xlsx::3. Инвест; ФЭМ_проекта_Кульсары_Расширение_новый_состав_1_8.xlsx::3. Инвест; ФЭМ_проекта_Курмангазы v.8.xlsx::3. Инвест</t>
        </is>
      </c>
      <c r="M123" t="n">
        <v>3</v>
      </c>
    </row>
    <row r="124">
      <c r="B124" t="inlineStr">
        <is>
          <t>Стоимость монтажных работ и услуг для запуска проекта</t>
        </is>
      </c>
      <c r="C124" t="inlineStr">
        <is>
          <t>Монтаж АПК патруль</t>
        </is>
      </c>
      <c r="D124" t="inlineStr">
        <is>
          <t>CAPEX</t>
        </is>
      </c>
      <c r="L124" t="inlineStr">
        <is>
          <t>ФЭМ_проекта_Жетысу_final.xlsx::3. Инвест; ФЭМ_проекта_Кульсары_Расширение_новый_состав_1_8.xlsx::3. Инвест; ФЭМ_проекта_Курмангазы v.8.xlsx::3. Инвест</t>
        </is>
      </c>
      <c r="M124" t="n">
        <v>3</v>
      </c>
    </row>
    <row r="125">
      <c r="B125" t="inlineStr">
        <is>
          <t>5. Экспл</t>
        </is>
      </c>
      <c r="C125" t="inlineStr">
        <is>
          <t>Обслуживание  АПК "Патруль"</t>
        </is>
      </c>
      <c r="D125" t="inlineStr">
        <is>
          <t>OPEX</t>
        </is>
      </c>
      <c r="L125" t="inlineStr">
        <is>
          <t>ФЭМ_проекта_Жетысу_final.xlsx::5. Экспл; ФЭМ_проекта_Кульсары_Расширение_новый_состав_1_8.xlsx::5. Экспл; ФЭМ_проекта_Курмангазы v.8.xlsx::5. Экспл</t>
        </is>
      </c>
      <c r="M125" t="n">
        <v>3</v>
      </c>
    </row>
    <row r="126">
      <c r="B126" t="inlineStr">
        <is>
          <t>Аппаратно-программные комплексы "Сергек"</t>
        </is>
      </c>
      <c r="C126" t="inlineStr">
        <is>
          <t>Счетчики АСКУЭ для АПК "Сергек"</t>
        </is>
      </c>
      <c r="D126" t="inlineStr">
        <is>
          <t>CAPEX</t>
        </is>
      </c>
      <c r="L126" t="inlineStr">
        <is>
          <t>2_ФЭМ_Костанай_3,5млрд_v3_в_коротком_виде2.xlsx::4.CAPEX; ФЭМ Костанай.xlsx::4.CAPEX</t>
        </is>
      </c>
      <c r="M126" t="n">
        <v>2</v>
      </c>
    </row>
    <row r="127">
      <c r="B127" t="inlineStr">
        <is>
          <t>4.CAPEX</t>
        </is>
      </c>
      <c r="C127" t="inlineStr">
        <is>
          <t>Универсальный шлюз безопасности (NGFW)</t>
        </is>
      </c>
      <c r="D127" t="inlineStr">
        <is>
          <t>CAPEX</t>
        </is>
      </c>
      <c r="L127" t="inlineStr">
        <is>
          <t>2_ФЭМ_Костанай_3,5млрд_v3_в_коротком_виде2.xlsx::4.CAPEX; ФЭМ Костанай.xlsx::4.CAPEX</t>
        </is>
      </c>
      <c r="M127" t="n">
        <v>2</v>
      </c>
    </row>
    <row r="128">
      <c r="B128" t="inlineStr">
        <is>
          <t>Стоимость монтажных работ и услуг для запуска проекта</t>
        </is>
      </c>
      <c r="C128" t="inlineStr">
        <is>
          <t>Монтаж АПК "Сергек.Линейный"</t>
        </is>
      </c>
      <c r="D128" t="inlineStr">
        <is>
          <t>CAPEX</t>
        </is>
      </c>
      <c r="L128" t="inlineStr">
        <is>
          <t>2_ФЭМ_Костанай_3,5млрд_v3_в_коротком_виде2.xlsx::4.CAPEX; ФЭМ Костанай.xlsx::4.CAPEX</t>
        </is>
      </c>
      <c r="M128" t="n">
        <v>2</v>
      </c>
    </row>
    <row r="129">
      <c r="B129" t="inlineStr">
        <is>
          <t>Стоимость монтажных работ и услуг для запуска проекта</t>
        </is>
      </c>
      <c r="C129" t="inlineStr">
        <is>
          <t>Монтаж АПК "Сергек.Перекресток"</t>
        </is>
      </c>
      <c r="D129" t="inlineStr">
        <is>
          <t>CAPEX</t>
        </is>
      </c>
      <c r="L129" t="inlineStr">
        <is>
          <t>2_ФЭМ_Костанай_3,5млрд_v3_в_коротком_виде2.xlsx::4.CAPEX; ФЭМ Костанай.xlsx::4.CAPEX</t>
        </is>
      </c>
      <c r="M129" t="n">
        <v>2</v>
      </c>
    </row>
    <row r="130">
      <c r="B130" t="inlineStr">
        <is>
          <t>Аппаратно-программные комплексы "Сергек"</t>
        </is>
      </c>
      <c r="C130" t="inlineStr">
        <is>
          <t>Подключение каналов связи (АПК "Сергек")</t>
        </is>
      </c>
      <c r="D130" t="inlineStr">
        <is>
          <t>CAPEX</t>
        </is>
      </c>
      <c r="L130" t="inlineStr">
        <is>
          <t>2_ФЭМ_Костанай_3,5млрд_v3_в_коротком_виде2.xlsx::4.CAPEX; ФЭМ Костанай.xlsx::4.CAPEX</t>
        </is>
      </c>
      <c r="M130" t="n">
        <v>2</v>
      </c>
    </row>
    <row r="131">
      <c r="B131" t="inlineStr">
        <is>
          <t>Аппаратно-программные комплексы "Сергек"</t>
        </is>
      </c>
      <c r="C131" t="inlineStr">
        <is>
          <t>Поверка (АПК "Сергек")</t>
        </is>
      </c>
      <c r="D131" t="inlineStr">
        <is>
          <t>CAPEX</t>
        </is>
      </c>
      <c r="L131" t="inlineStr">
        <is>
          <t>2_ФЭМ_Костанай_3,5млрд_v3_в_коротком_виде2.xlsx::4.CAPEX; ФЭМ Костанай.xlsx::4.CAPEX</t>
        </is>
      </c>
      <c r="M131" t="n">
        <v>2</v>
      </c>
    </row>
    <row r="132">
      <c r="B132" t="inlineStr">
        <is>
          <t>Для CAPEX</t>
        </is>
      </c>
      <c r="C132" t="inlineStr">
        <is>
          <t>Зарядное устройство С 4/36-90 230V box</t>
        </is>
      </c>
      <c r="D132" t="inlineStr">
        <is>
          <t>CAPEX</t>
        </is>
      </c>
      <c r="L132" t="inlineStr">
        <is>
          <t>2_ФЭМ_Костанай_3,5млрд_v3_в_коротком_виде2.xlsx::Для CAPEX; ФЭМ Костанай.xlsx::Для CAPEX</t>
        </is>
      </c>
      <c r="M132" t="n">
        <v>2</v>
      </c>
    </row>
    <row r="133">
      <c r="B133" t="inlineStr">
        <is>
          <t>Аппаратно-программные комплексы "Сергек"</t>
        </is>
      </c>
      <c r="C133" t="inlineStr">
        <is>
          <t>Канал передачи данных - АПК "Сергек.Линейный"</t>
        </is>
      </c>
      <c r="D133" t="inlineStr">
        <is>
          <t>OPEX</t>
        </is>
      </c>
      <c r="L133" t="inlineStr">
        <is>
          <t>2_ФЭМ_Костанай_3,5млрд_v3_в_коротком_виде2.xlsx::7. Расчет экспл.расх; ФЭМ Костанай.xlsx::7. Расчет экспл.расх</t>
        </is>
      </c>
      <c r="M133" t="n">
        <v>2</v>
      </c>
    </row>
    <row r="134">
      <c r="B134" t="inlineStr">
        <is>
          <t>Аппаратно-программные комплексы "Сергек"</t>
        </is>
      </c>
      <c r="C134" t="inlineStr">
        <is>
          <t>Канал передачи данных - АПК "Сергек.Перекресток"</t>
        </is>
      </c>
      <c r="D134" t="inlineStr">
        <is>
          <t>OPEX</t>
        </is>
      </c>
      <c r="L134" t="inlineStr">
        <is>
          <t>2_ФЭМ_Костанай_3,5млрд_v3_в_коротком_виде2.xlsx::7. Расчет экспл.расх; ФЭМ Костанай.xlsx::7. Расчет экспл.расх</t>
        </is>
      </c>
      <c r="M134" t="n">
        <v>2</v>
      </c>
    </row>
    <row r="135">
      <c r="B135" t="inlineStr">
        <is>
          <t>Центр обработки и анализа данных</t>
        </is>
      </c>
      <c r="C135" t="inlineStr">
        <is>
          <t>Резервный сервер</t>
        </is>
      </c>
      <c r="D135" t="inlineStr">
        <is>
          <t>CAPEX</t>
        </is>
      </c>
      <c r="L135" t="inlineStr">
        <is>
          <t>4. Шу_ФЭМ.xlsx::3. Инвест; ФЭМ_проекта_Кульсары_Расширение_новый_состав_1_8.xlsx::3. Инвест</t>
        </is>
      </c>
      <c r="M135" t="n">
        <v>2</v>
      </c>
    </row>
    <row r="136">
      <c r="B136" t="inlineStr">
        <is>
          <t>Аппаратно-программные комплексы "Сергек"</t>
        </is>
      </c>
      <c r="C136" t="inlineStr">
        <is>
          <t>Мобильное рабочее место "Сергек"</t>
        </is>
      </c>
      <c r="D136" t="inlineStr">
        <is>
          <t>CAPEX</t>
        </is>
      </c>
      <c r="L136" t="inlineStr">
        <is>
          <t>ФЭМ №1 (Павлодар).xlsx::3. Инвест; ФЭМ №2 (Павлодар).xlsx::3. Инвест</t>
        </is>
      </c>
      <c r="M136" t="n">
        <v>2</v>
      </c>
    </row>
    <row r="137">
      <c r="B137" t="inlineStr">
        <is>
          <t>Аппаратно-программные комплексы "Сергек"</t>
        </is>
      </c>
      <c r="C137" t="inlineStr">
        <is>
          <t>Распределение расходов административно-управленческого персонала,осуществляющего поддержку проекта Астана - Сергек ( прочие расходы)</t>
        </is>
      </c>
      <c r="D137" t="inlineStr">
        <is>
          <t>OPEX</t>
        </is>
      </c>
      <c r="L137" t="inlineStr">
        <is>
          <t>ФЭМ_Астана (4).xlsx::Обсл; ФЭМ_Астана (4).xlsx::Экспл</t>
        </is>
      </c>
      <c r="M137" t="n">
        <v>2</v>
      </c>
    </row>
    <row r="138">
      <c r="B138" t="inlineStr">
        <is>
          <t>Инвест</t>
        </is>
      </c>
      <c r="C138" t="inlineStr">
        <is>
          <t>Видеостена под ключ</t>
        </is>
      </c>
      <c r="D138" t="inlineStr">
        <is>
          <t>CAPEX</t>
        </is>
      </c>
      <c r="L138" t="inlineStr">
        <is>
          <t>ФЭМ_Атырау.xlsx::Инвест</t>
        </is>
      </c>
      <c r="M138" t="n">
        <v>2</v>
      </c>
    </row>
    <row r="139">
      <c r="B139" t="inlineStr">
        <is>
          <t>Аппаратно-программные комплексы "Сергек"</t>
        </is>
      </c>
      <c r="C139" t="inlineStr">
        <is>
          <t>Аппаратно-программный комплекс "Сергек. Трасса" v4.0</t>
        </is>
      </c>
      <c r="D139" t="inlineStr">
        <is>
          <t>CAPEX</t>
        </is>
      </c>
      <c r="L139" t="inlineStr">
        <is>
          <t>ФЭМ_проекта_Кульсары_Расширение_новый_состав_1_8.xlsx::3. Инвест; ФЭМ_проекта_Курмангазы v.8.xlsx::3. Инвест</t>
        </is>
      </c>
      <c r="M139" t="n">
        <v>2</v>
      </c>
    </row>
    <row r="140">
      <c r="B140" t="inlineStr">
        <is>
          <t>4.CAPEX</t>
        </is>
      </c>
      <c r="C140" t="inlineStr">
        <is>
          <t>Видеостена (13500х6500), под ключ</t>
        </is>
      </c>
      <c r="D140" t="inlineStr">
        <is>
          <t>CAPEX</t>
        </is>
      </c>
      <c r="L140" t="inlineStr">
        <is>
          <t>2_ФЭМ_Костанай_3,5млрд_v3_в_коротком_виде2.xlsx::4.CAPEX</t>
        </is>
      </c>
      <c r="M140" t="n">
        <v>1</v>
      </c>
    </row>
    <row r="141">
      <c r="B141" t="inlineStr">
        <is>
          <t>Аппаратно-программные комплексы "Сергек"</t>
        </is>
      </c>
      <c r="C141" t="inlineStr">
        <is>
          <t>Аппаратно-программный комплекс "Сергек. Патруль"</t>
        </is>
      </c>
      <c r="D141" t="inlineStr">
        <is>
          <t>CAPEX</t>
        </is>
      </c>
      <c r="L141" t="inlineStr">
        <is>
          <t>4. Шу_ФЭМ.xlsx::3. Инвест</t>
        </is>
      </c>
      <c r="M141" t="n">
        <v>1</v>
      </c>
    </row>
    <row r="142">
      <c r="B142" t="inlineStr">
        <is>
          <t>Аппаратно-программные комплексы "Сергек"</t>
        </is>
      </c>
      <c r="C142" t="inlineStr">
        <is>
          <t>Аппаратно-программный комплекс "Сергек. Трасса"</t>
        </is>
      </c>
      <c r="D142" t="inlineStr">
        <is>
          <t>CAPEX</t>
        </is>
      </c>
      <c r="L142" t="inlineStr">
        <is>
          <t>4. Шу_ФЭМ.xlsx::3. Инвест</t>
        </is>
      </c>
      <c r="M142" t="n">
        <v>1</v>
      </c>
    </row>
    <row r="143">
      <c r="B143" t="inlineStr">
        <is>
          <t>Аппаратно-программные комплексы "Сергек"</t>
        </is>
      </c>
      <c r="C143" t="inlineStr">
        <is>
          <t>Распределение расходов административно-управленческого персонала,осуществляющего поддержку проекта Астана - Сергек за  декабрь 2022г. ( прочие расходы)</t>
        </is>
      </c>
      <c r="D143" t="inlineStr">
        <is>
          <t>OPEX</t>
        </is>
      </c>
      <c r="L143" t="inlineStr">
        <is>
          <t>ФЭМ ИТОГ до ноября24.xlsx::Обсл</t>
        </is>
      </c>
      <c r="M143" t="n">
        <v>1</v>
      </c>
    </row>
    <row r="144">
      <c r="B144" t="inlineStr">
        <is>
          <t>Аппаратно-программные комплексы "Сергек"</t>
        </is>
      </c>
      <c r="C144" t="inlineStr">
        <is>
          <t>АПК "Сергек" на линейных участках</t>
        </is>
      </c>
      <c r="D144" t="inlineStr">
        <is>
          <t>CAPEX</t>
        </is>
      </c>
      <c r="L144" t="inlineStr">
        <is>
          <t>ФЭМ Костанай.xlsx::4.CAPEX</t>
        </is>
      </c>
      <c r="M144" t="n">
        <v>1</v>
      </c>
    </row>
    <row r="145">
      <c r="B145" t="inlineStr">
        <is>
          <t>Аппаратно-программные комплексы "Сергек"</t>
        </is>
      </c>
      <c r="C145" t="inlineStr">
        <is>
          <t>АПК "Сергек" на перекрестках</t>
        </is>
      </c>
      <c r="D145" t="inlineStr">
        <is>
          <t>CAPEX</t>
        </is>
      </c>
      <c r="L145" t="inlineStr">
        <is>
          <t>ФЭМ Костанай.xlsx::4.CAPEX</t>
        </is>
      </c>
      <c r="M145" t="n">
        <v>1</v>
      </c>
    </row>
    <row r="146">
      <c r="B146" t="inlineStr">
        <is>
          <t>Аппаратно-программные комплексы "Сергек"</t>
        </is>
      </c>
      <c r="C146" t="inlineStr">
        <is>
          <t>Аппаратно-программный комплекс "Сергек. Трассы"</t>
        </is>
      </c>
      <c r="D146" t="inlineStr">
        <is>
          <t>CAPEX</t>
        </is>
      </c>
      <c r="L146" t="inlineStr">
        <is>
          <t>ФЭМ №2 (Павлодар).xlsx::3. Инвест</t>
        </is>
      </c>
      <c r="M146" t="n">
        <v>1</v>
      </c>
    </row>
    <row r="147">
      <c r="B147" t="inlineStr">
        <is>
          <t>Аппаратно-программные комплексы "Сергек"</t>
        </is>
      </c>
      <c r="C147" t="inlineStr">
        <is>
          <t>Аппаратно-программный комплекс "Сергек. Линейный участок" v4.0 на трассах</t>
        </is>
      </c>
      <c r="D147" t="inlineStr">
        <is>
          <t>CAPEX</t>
        </is>
      </c>
      <c r="L147" t="inlineStr">
        <is>
          <t>ФЭМ_проекта_Жетысу_final.xlsx::3. Инвест</t>
        </is>
      </c>
      <c r="M147" t="n">
        <v>1</v>
      </c>
    </row>
    <row r="148">
      <c r="B148" t="inlineStr">
        <is>
          <t>Аппаратно-программные комплексы "Сергек"</t>
        </is>
      </c>
      <c r="C148" t="inlineStr">
        <is>
          <t>Аппаратно-программный комплекс "Сергек. Lite"</t>
        </is>
      </c>
      <c r="D148" t="inlineStr">
        <is>
          <t>CAPEX</t>
        </is>
      </c>
      <c r="L148" t="inlineStr">
        <is>
          <t>ФЭМ_проекта_Курмангазы v.8.xlsx::3. Инвест</t>
        </is>
      </c>
      <c r="M148" t="n">
        <v>1</v>
      </c>
    </row>
  </sheetData>
  <pageMargins left="0.7086614173228347" right="0.7086614173228347" top="0.7480314960629921" bottom="0.7480314960629921" header="0.3149606299212598" footer="0.3149606299212598"/>
  <pageSetup orientation="landscape" paperSize="9" scale="5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workbookViewId="0">
      <selection activeCell="C9" sqref="C9"/>
    </sheetView>
  </sheetViews>
  <sheetFormatPr baseColWidth="8" defaultRowHeight="15"/>
  <cols>
    <col width="14.140625" bestFit="1" customWidth="1" min="3" max="3"/>
  </cols>
  <sheetData>
    <row r="2">
      <c r="B2" s="62" t="inlineStr">
        <is>
          <t>Этап</t>
        </is>
      </c>
      <c r="C2" s="62" t="inlineStr">
        <is>
          <t>Наименование</t>
        </is>
      </c>
    </row>
    <row r="3">
      <c r="B3" s="62" t="n">
        <v>0</v>
      </c>
      <c r="C3" s="62" t="inlineStr">
        <is>
          <t>Гос.партнер</t>
        </is>
      </c>
    </row>
    <row r="4">
      <c r="B4" s="62" t="n">
        <v>1</v>
      </c>
      <c r="C4" s="62" t="inlineStr">
        <is>
          <t>ДРБ</t>
        </is>
      </c>
    </row>
    <row r="5">
      <c r="B5" s="62" t="n">
        <v>2</v>
      </c>
      <c r="C5" s="62" t="inlineStr">
        <is>
          <t>ФД (Манько)</t>
        </is>
      </c>
    </row>
    <row r="6">
      <c r="B6" s="62" t="n">
        <v>3</v>
      </c>
      <c r="C6" s="62" t="inlineStr">
        <is>
          <t>ДРБ</t>
        </is>
      </c>
    </row>
    <row r="7">
      <c r="B7" s="62" t="n">
        <v>4</v>
      </c>
      <c r="C7" s="62" t="inlineStr">
        <is>
          <t>ST</t>
        </is>
      </c>
    </row>
    <row r="8">
      <c r="B8" s="62" t="n">
        <v>5</v>
      </c>
      <c r="C8" s="62" t="inlineStr">
        <is>
          <t>Zerek</t>
        </is>
      </c>
    </row>
    <row r="9">
      <c r="B9" s="62" t="n">
        <v>6</v>
      </c>
      <c r="C9" s="62" t="inlineStr">
        <is>
          <t>ДРБ</t>
        </is>
      </c>
    </row>
    <row r="10">
      <c r="B10" s="62" t="n">
        <v>7</v>
      </c>
      <c r="C10" s="62" t="inlineStr">
        <is>
          <t>Олжа</t>
        </is>
      </c>
    </row>
    <row r="11">
      <c r="B11" s="62" t="n"/>
      <c r="C11" s="62" t="n"/>
    </row>
    <row r="12">
      <c r="B12" s="62" t="n"/>
      <c r="C12" s="62" t="n"/>
    </row>
    <row r="13">
      <c r="B13" s="62" t="n"/>
      <c r="C13" s="62" t="n"/>
    </row>
    <row r="14">
      <c r="B14" s="62" t="n"/>
      <c r="C14" s="62" t="n"/>
    </row>
    <row r="15">
      <c r="B15" s="62" t="n"/>
      <c r="C15" s="62" t="n"/>
    </row>
    <row r="16">
      <c r="B16" s="62" t="n"/>
      <c r="C16" s="62" t="n"/>
    </row>
    <row r="17">
      <c r="B17" s="62" t="n"/>
      <c r="C17" s="62" t="n"/>
    </row>
    <row r="18">
      <c r="B18" s="62" t="n"/>
      <c r="C18" s="62" t="n"/>
    </row>
    <row r="19">
      <c r="B19" s="62" t="n"/>
      <c r="C19" s="62" t="n"/>
    </row>
    <row r="20">
      <c r="B20" s="62" t="n"/>
      <c r="C20" s="62" t="n"/>
    </row>
    <row r="21">
      <c r="B21" s="62" t="n"/>
      <c r="C21" s="62" t="n"/>
    </row>
    <row r="22">
      <c r="B22" s="62" t="n"/>
      <c r="C22" s="62" t="n"/>
    </row>
    <row r="23">
      <c r="B23" s="62" t="n"/>
      <c r="C23" s="62" t="n"/>
    </row>
    <row r="24">
      <c r="B24" s="62" t="n"/>
      <c r="C24" s="6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:C11"/>
    </sheetView>
  </sheetViews>
  <sheetFormatPr baseColWidth="8" defaultColWidth="11.42578125" defaultRowHeight="15"/>
  <cols>
    <col width="37.140625" customWidth="1" min="1" max="1"/>
    <col width="26" customWidth="1" min="2" max="2"/>
    <col width="17.28515625" bestFit="1" customWidth="1" min="3" max="3"/>
  </cols>
  <sheetData>
    <row r="1" ht="15.75" customHeight="1" thickBot="1">
      <c r="A1" s="42" t="inlineStr">
        <is>
          <t>Наименование</t>
        </is>
      </c>
      <c r="B1" s="43" t="inlineStr">
        <is>
          <t>ед. изм.</t>
        </is>
      </c>
      <c r="C1" s="43" t="inlineStr">
        <is>
          <t>Стоимость</t>
        </is>
      </c>
    </row>
    <row r="2" ht="26.25" customHeight="1" thickBot="1">
      <c r="A2" s="44" t="inlineStr">
        <is>
          <t>Аппаратно-программные комплексы (АПК)</t>
        </is>
      </c>
      <c r="B2" s="45" t="inlineStr">
        <is>
          <t>тыс. тенге</t>
        </is>
      </c>
      <c r="C2" s="79">
        <f>#REF!/1000</f>
        <v/>
      </c>
    </row>
    <row r="3" ht="15.75" customHeight="1" thickBot="1">
      <c r="A3" s="44" t="inlineStr">
        <is>
          <t>Камеры общественной безопасности</t>
        </is>
      </c>
      <c r="B3" s="45" t="inlineStr">
        <is>
          <t>тыс. тенге</t>
        </is>
      </c>
      <c r="C3" s="79">
        <f>#REF!/1000</f>
        <v/>
      </c>
    </row>
    <row r="4" ht="26.25" customHeight="1" thickBot="1">
      <c r="A4" s="44" t="inlineStr">
        <is>
          <t>Расходы на приобретение оборудования для ЦОДа</t>
        </is>
      </c>
      <c r="B4" s="45" t="inlineStr">
        <is>
          <t>тыс. тенге</t>
        </is>
      </c>
      <c r="C4" s="79">
        <f>#REF!/1000</f>
        <v/>
      </c>
    </row>
    <row r="5" ht="26.25" customHeight="1" thickBot="1">
      <c r="A5" s="44" t="inlineStr">
        <is>
          <t>Оснащение рабочих мест Ситуационного центра</t>
        </is>
      </c>
      <c r="B5" s="45" t="inlineStr">
        <is>
          <t>тыс. тенге</t>
        </is>
      </c>
      <c r="C5" s="79">
        <f>#REF!/1000</f>
        <v/>
      </c>
    </row>
    <row r="6" ht="15.75" customHeight="1" thickBot="1">
      <c r="A6" s="44" t="inlineStr">
        <is>
          <t>Сопутствующее оборудование</t>
        </is>
      </c>
      <c r="B6" s="45" t="inlineStr">
        <is>
          <t>тыс.тенге</t>
        </is>
      </c>
      <c r="C6" s="79">
        <f>#REF!/1000</f>
        <v/>
      </c>
    </row>
    <row r="7" ht="15.75" customHeight="1" thickBot="1">
      <c r="A7" s="44" t="inlineStr">
        <is>
          <t>Расходы на монтажные работы и услуги</t>
        </is>
      </c>
      <c r="B7" s="45" t="inlineStr">
        <is>
          <t>тыс. тенге</t>
        </is>
      </c>
      <c r="C7" s="79">
        <f>#REF!/1000</f>
        <v/>
      </c>
    </row>
    <row r="8" ht="26.25" customHeight="1" thickBot="1">
      <c r="A8" s="44" t="inlineStr">
        <is>
          <t>Операционные затраты на этапе строительства</t>
        </is>
      </c>
      <c r="B8" s="45" t="inlineStr">
        <is>
          <t>тыс. тенге</t>
        </is>
      </c>
      <c r="C8" s="79">
        <f>#REF!/1000</f>
        <v/>
      </c>
    </row>
    <row r="9" ht="26.25" customHeight="1" thickBot="1">
      <c r="A9" s="44" t="inlineStr">
        <is>
          <t>Капитализируемые проценты к погашению в инвест. период</t>
        </is>
      </c>
      <c r="B9" s="45" t="inlineStr">
        <is>
          <t>тыс. тенге</t>
        </is>
      </c>
      <c r="C9" s="79">
        <f>#REF!/1000</f>
        <v/>
      </c>
    </row>
    <row r="10" ht="15.75" customHeight="1" thickBot="1">
      <c r="A10" s="44" t="inlineStr">
        <is>
          <t>Итого, инвестиционные издержки:</t>
        </is>
      </c>
      <c r="B10" s="46" t="inlineStr">
        <is>
          <t>тыс. тенге</t>
        </is>
      </c>
      <c r="C10" s="47">
        <f>SUM(C2:C9)</f>
        <v/>
      </c>
    </row>
    <row r="11" ht="15.75" customHeight="1" thickBot="1">
      <c r="A11" s="80" t="inlineStr">
        <is>
          <t>Источник: ФЭМ «CAPEX»</t>
        </is>
      </c>
      <c r="B11" s="81" t="n"/>
      <c r="C11" s="82" t="n"/>
    </row>
  </sheetData>
  <mergeCells count="1">
    <mergeCell ref="A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E35" sqref="E35"/>
    </sheetView>
  </sheetViews>
  <sheetFormatPr baseColWidth="8" defaultColWidth="11.42578125" defaultRowHeight="15"/>
  <cols>
    <col width="27.28515625" bestFit="1" customWidth="1" min="1" max="1"/>
    <col width="12" bestFit="1" customWidth="1" min="2" max="2"/>
  </cols>
  <sheetData>
    <row r="1">
      <c r="A1" s="53" t="inlineStr">
        <is>
          <t xml:space="preserve">Операционные затраты </t>
        </is>
      </c>
      <c r="B1" s="83" t="inlineStr">
        <is>
          <t>тыс. тенге</t>
        </is>
      </c>
    </row>
    <row r="2">
      <c r="A2" s="49" t="inlineStr">
        <is>
          <t>Проценты банка</t>
        </is>
      </c>
      <c r="B2" s="84">
        <f>(#REF!+#REF!)-(#REF!+#REF!)</f>
        <v/>
      </c>
    </row>
    <row r="3" ht="37.35" customHeight="1">
      <c r="A3" s="50" t="inlineStr">
        <is>
          <t>Затраты по организации канала передачи данных и серверного обслуживания</t>
        </is>
      </c>
      <c r="B3" s="84">
        <f>#REF!-#REF!</f>
        <v/>
      </c>
    </row>
    <row r="4">
      <c r="A4" s="51" t="inlineStr">
        <is>
          <t>Затраты по обслуживанию</t>
        </is>
      </c>
      <c r="B4" s="84">
        <f>#REF!-#REF!</f>
        <v/>
      </c>
    </row>
    <row r="5">
      <c r="A5" s="51" t="inlineStr">
        <is>
          <t>Затраты по заработной плате</t>
        </is>
      </c>
      <c r="B5" s="84">
        <f>#REF!-#REF!</f>
        <v/>
      </c>
    </row>
    <row r="6">
      <c r="A6" s="51" t="inlineStr">
        <is>
          <t>Износ оборудования</t>
        </is>
      </c>
      <c r="B6" s="84">
        <f>#REF!-#REF!</f>
        <v/>
      </c>
    </row>
    <row r="7">
      <c r="A7" s="51" t="inlineStr">
        <is>
          <t xml:space="preserve">Коммунальные расходы </t>
        </is>
      </c>
      <c r="B7" s="84">
        <f>#REF!-#REF!</f>
        <v/>
      </c>
    </row>
    <row r="8">
      <c r="A8" s="51" t="inlineStr">
        <is>
          <t>Затраты на аренду помещений</t>
        </is>
      </c>
      <c r="B8" s="84">
        <f>#REF!-#REF!</f>
        <v/>
      </c>
    </row>
    <row r="9">
      <c r="A9" s="51" t="inlineStr">
        <is>
          <t>Командировочные расходы</t>
        </is>
      </c>
      <c r="B9" s="84">
        <f>#REF!-#REF!</f>
        <v/>
      </c>
    </row>
    <row r="10">
      <c r="A10" s="51" t="inlineStr">
        <is>
          <t>Поверка АПК</t>
        </is>
      </c>
      <c r="B10" s="84">
        <f>#REF!-#REF!</f>
        <v/>
      </c>
    </row>
    <row r="11">
      <c r="A11" s="51" t="inlineStr">
        <is>
          <t>НДС по расходам без учета НДС</t>
        </is>
      </c>
      <c r="B11" s="84">
        <f>#REF!-#REF!</f>
        <v/>
      </c>
    </row>
    <row r="12">
      <c r="A12" s="55" t="inlineStr">
        <is>
          <t>Итого</t>
        </is>
      </c>
      <c r="B12" s="85">
        <f>SUM(B2:B11)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S56"/>
  <sheetViews>
    <sheetView topLeftCell="A22" zoomScale="75" zoomScaleNormal="75" zoomScalePageLayoutView="75" workbookViewId="0">
      <selection activeCell="I42" sqref="I42"/>
    </sheetView>
  </sheetViews>
  <sheetFormatPr baseColWidth="8" defaultColWidth="12.42578125" defaultRowHeight="15.75"/>
  <cols>
    <col width="27.42578125" customWidth="1" style="2" min="1" max="1"/>
    <col width="9.42578125" customWidth="1" style="2" min="2" max="2"/>
    <col width="8.42578125" customWidth="1" style="2" min="3" max="3"/>
    <col width="11.42578125" customWidth="1" style="2" min="4" max="4"/>
    <col width="8.42578125" customWidth="1" style="2" min="5" max="7"/>
    <col width="19" customWidth="1" style="2" min="8" max="8"/>
    <col width="20.42578125" customWidth="1" style="2" min="9" max="14"/>
    <col width="19" customWidth="1" style="2" min="15" max="17"/>
    <col width="12.42578125" customWidth="1" style="2" min="18" max="16384"/>
  </cols>
  <sheetData>
    <row r="1">
      <c r="A1" s="1" t="n"/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  <c r="Q1" s="1" t="n">
        <v>2026</v>
      </c>
    </row>
    <row r="2">
      <c r="A2" s="3" t="inlineStr">
        <is>
          <t>Inflation</t>
        </is>
      </c>
      <c r="B2" s="3" t="n"/>
      <c r="C2" s="4" t="n"/>
      <c r="D2" s="4" t="n"/>
      <c r="E2" s="4" t="n"/>
      <c r="F2" s="4" t="n"/>
      <c r="G2" s="4" t="n"/>
      <c r="H2" s="4" t="n">
        <v>1.07</v>
      </c>
      <c r="I2" s="4" t="n">
        <v>1.07</v>
      </c>
      <c r="J2" s="4" t="n">
        <v>1.07</v>
      </c>
      <c r="K2" s="4" t="n">
        <v>1.07</v>
      </c>
      <c r="L2" s="4" t="n">
        <v>1.07</v>
      </c>
      <c r="M2" s="4" t="n">
        <v>1.07</v>
      </c>
      <c r="N2" s="4" t="n">
        <v>1.07</v>
      </c>
      <c r="O2" s="4" t="n">
        <v>1.07</v>
      </c>
      <c r="P2" s="4" t="n">
        <v>1.07</v>
      </c>
      <c r="Q2" s="4" t="n">
        <v>1.07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3" t="inlineStr">
        <is>
          <t>Number of cars</t>
        </is>
      </c>
      <c r="B4" s="5" t="n">
        <v>218183</v>
      </c>
      <c r="C4" s="5" t="n">
        <v>236153</v>
      </c>
      <c r="D4" s="5" t="n">
        <v>236486</v>
      </c>
      <c r="E4" s="5" t="n">
        <v>241575</v>
      </c>
      <c r="F4" s="5" t="n">
        <v>248941</v>
      </c>
      <c r="G4" s="5" t="n">
        <v>246434</v>
      </c>
      <c r="H4" s="5">
        <f>(G4*3%)+G4</f>
        <v/>
      </c>
      <c r="I4" s="5">
        <f>(H4*3/100)+H4</f>
        <v/>
      </c>
      <c r="J4" s="5">
        <f>(I4*3/100)+I4</f>
        <v/>
      </c>
      <c r="K4" s="5">
        <f>(J4*3/100)+J4</f>
        <v/>
      </c>
      <c r="L4" s="5">
        <f>(K4*3/100)+K4</f>
        <v/>
      </c>
      <c r="M4" s="5">
        <f>(L4*3/100)+L4</f>
        <v/>
      </c>
      <c r="N4" s="5">
        <f>(M4*3/100)+M4</f>
        <v/>
      </c>
      <c r="O4" s="5">
        <f>(N4*3/100)+N4</f>
        <v/>
      </c>
      <c r="P4" s="5">
        <f>(O4*3/100)+O4</f>
        <v/>
      </c>
      <c r="Q4" s="5">
        <f>(P4*3/100)+P4</f>
        <v/>
      </c>
    </row>
    <row r="5">
      <c r="A5" s="3" t="inlineStr">
        <is>
          <t>Difference</t>
        </is>
      </c>
      <c r="B5" s="3" t="n"/>
      <c r="C5" s="5">
        <f>C4-B4</f>
        <v/>
      </c>
      <c r="D5" s="5">
        <f>D4-C4</f>
        <v/>
      </c>
      <c r="E5" s="5">
        <f>E4-D4</f>
        <v/>
      </c>
      <c r="F5" s="5">
        <f>F4-E4</f>
        <v/>
      </c>
      <c r="G5" s="5">
        <f>AVERAGE(B5:F5)</f>
        <v/>
      </c>
      <c r="H5" s="5">
        <f>H4-G4</f>
        <v/>
      </c>
      <c r="I5" s="5">
        <f>I4-H4</f>
        <v/>
      </c>
      <c r="J5" s="5">
        <f>J4-I4</f>
        <v/>
      </c>
      <c r="K5" s="5">
        <f>K4-J4</f>
        <v/>
      </c>
      <c r="L5" s="5">
        <f>L4-K4</f>
        <v/>
      </c>
      <c r="M5" s="5">
        <f>M4-L4</f>
        <v/>
      </c>
      <c r="N5" s="5">
        <f>N4-M4</f>
        <v/>
      </c>
      <c r="O5" s="5">
        <f>O4-N4</f>
        <v/>
      </c>
      <c r="P5" s="5">
        <f>P4-O4</f>
        <v/>
      </c>
      <c r="Q5" s="5">
        <f>Q4-P4</f>
        <v/>
      </c>
    </row>
    <row r="6">
      <c r="A6" s="3" t="n"/>
      <c r="B6" s="3" t="n"/>
      <c r="C6" s="5" t="n"/>
      <c r="D6" s="5" t="n"/>
      <c r="E6" s="5" t="n"/>
      <c r="F6" s="5" t="n"/>
      <c r="G6" s="5" t="n"/>
      <c r="H6" s="4">
        <f>H5/G4</f>
        <v/>
      </c>
      <c r="I6" s="4">
        <f>I5/H4</f>
        <v/>
      </c>
      <c r="J6" s="4">
        <f>J5/I4</f>
        <v/>
      </c>
      <c r="K6" s="4">
        <f>K5/J4</f>
        <v/>
      </c>
      <c r="L6" s="4">
        <f>L5/K4</f>
        <v/>
      </c>
      <c r="M6" s="4">
        <f>M5/L4</f>
        <v/>
      </c>
      <c r="N6" s="4">
        <f>N5/M4</f>
        <v/>
      </c>
      <c r="O6" s="4">
        <f>O5/N4</f>
        <v/>
      </c>
      <c r="P6" s="4">
        <f>P5/O4</f>
        <v/>
      </c>
      <c r="Q6" s="4">
        <f>Q5/P4</f>
        <v/>
      </c>
    </row>
    <row r="7">
      <c r="A7" s="3" t="inlineStr">
        <is>
          <t>МРП</t>
        </is>
      </c>
      <c r="B7" s="5" t="n">
        <v>1512</v>
      </c>
      <c r="C7" s="5" t="n">
        <v>1618</v>
      </c>
      <c r="D7" s="5" t="n">
        <v>1731</v>
      </c>
      <c r="E7" s="5" t="n">
        <v>1852</v>
      </c>
      <c r="F7" s="5" t="n">
        <v>1982</v>
      </c>
      <c r="G7" s="5" t="n">
        <v>2121</v>
      </c>
      <c r="H7" s="5" t="n">
        <v>2277.954</v>
      </c>
      <c r="I7" s="5" t="n">
        <v>2391.8517</v>
      </c>
      <c r="J7" s="5" t="n">
        <v>2487.525768</v>
      </c>
      <c r="K7" s="5" t="n">
        <v>2562.151541040001</v>
      </c>
      <c r="L7" s="5" t="n">
        <v>2639.016087271201</v>
      </c>
      <c r="M7" s="5" t="n">
        <v>2718.186569889337</v>
      </c>
      <c r="N7" s="5" t="n">
        <v>2799.732166986017</v>
      </c>
      <c r="O7" s="5" t="n">
        <v>2855.726810325737</v>
      </c>
      <c r="P7" s="5" t="n">
        <v>2912.841346532252</v>
      </c>
      <c r="Q7" s="5" t="n">
        <v>2971.098173462898</v>
      </c>
    </row>
    <row r="8" ht="16.5" customHeight="1" thickBo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7" t="inlineStr">
        <is>
          <t>Скоростемеры (число запущенных едениц)</t>
        </is>
      </c>
      <c r="B9" s="8" t="n"/>
      <c r="C9" s="9" t="n"/>
      <c r="D9" s="9" t="n"/>
      <c r="E9" s="9" t="n"/>
      <c r="F9" s="9" t="n"/>
      <c r="G9" s="9" t="n"/>
      <c r="H9" s="9" t="n">
        <v>50</v>
      </c>
      <c r="I9" s="9" t="n">
        <v>300</v>
      </c>
      <c r="J9" s="9">
        <f>SUM(J10:J12)</f>
        <v/>
      </c>
      <c r="K9" s="9">
        <f>SUM(K10:K12)</f>
        <v/>
      </c>
      <c r="L9" s="9">
        <f>SUM(L10:L12)</f>
        <v/>
      </c>
      <c r="M9" s="9">
        <f>SUM(M10:M12)</f>
        <v/>
      </c>
      <c r="N9" s="9">
        <f>SUM(N10:N12)</f>
        <v/>
      </c>
      <c r="O9" s="9">
        <f>SUM(O10:O12)</f>
        <v/>
      </c>
      <c r="P9" s="9">
        <f>SUM(P10:P12)</f>
        <v/>
      </c>
      <c r="Q9" s="10">
        <f>SUM(Q10:Q12)</f>
        <v/>
      </c>
    </row>
    <row r="10">
      <c r="A10" s="11" t="inlineStr">
        <is>
          <t>Большой</t>
        </is>
      </c>
      <c r="B10" s="12" t="inlineStr">
        <is>
          <t>штук</t>
        </is>
      </c>
      <c r="C10" s="3" t="n"/>
      <c r="D10" s="3" t="n"/>
      <c r="E10" s="3" t="n"/>
      <c r="F10" s="3" t="n"/>
      <c r="G10" s="3" t="n"/>
      <c r="H10" s="3" t="n">
        <v>20</v>
      </c>
      <c r="I10" s="3" t="n">
        <v>60</v>
      </c>
      <c r="J10" s="3" t="n">
        <v>60</v>
      </c>
      <c r="K10" s="3" t="n">
        <v>60</v>
      </c>
      <c r="L10" s="3" t="n">
        <v>60</v>
      </c>
      <c r="M10" s="3" t="n">
        <v>60</v>
      </c>
      <c r="N10" s="3" t="n">
        <v>60</v>
      </c>
      <c r="O10" s="3" t="n">
        <v>60</v>
      </c>
      <c r="P10" s="3" t="n">
        <v>60</v>
      </c>
      <c r="Q10" s="13" t="n">
        <v>60</v>
      </c>
    </row>
    <row r="11">
      <c r="A11" s="11" t="inlineStr">
        <is>
          <t>Средний</t>
        </is>
      </c>
      <c r="B11" s="12" t="inlineStr">
        <is>
          <t>штук</t>
        </is>
      </c>
      <c r="C11" s="3" t="n"/>
      <c r="D11" s="3" t="n"/>
      <c r="E11" s="3" t="n"/>
      <c r="F11" s="3" t="n"/>
      <c r="G11" s="3" t="n"/>
      <c r="H11" s="3" t="n">
        <v>15</v>
      </c>
      <c r="I11" s="3" t="n">
        <v>100</v>
      </c>
      <c r="J11" s="3" t="n">
        <v>100</v>
      </c>
      <c r="K11" s="3" t="n">
        <v>100</v>
      </c>
      <c r="L11" s="3" t="n">
        <v>100</v>
      </c>
      <c r="M11" s="3" t="n">
        <v>100</v>
      </c>
      <c r="N11" s="3" t="n">
        <v>100</v>
      </c>
      <c r="O11" s="3" t="n">
        <v>100</v>
      </c>
      <c r="P11" s="3" t="n">
        <v>100</v>
      </c>
      <c r="Q11" s="13" t="n">
        <v>100</v>
      </c>
    </row>
    <row r="12">
      <c r="A12" s="11" t="inlineStr">
        <is>
          <t>Малый</t>
        </is>
      </c>
      <c r="B12" s="12" t="inlineStr">
        <is>
          <t>штук</t>
        </is>
      </c>
      <c r="C12" s="3" t="n"/>
      <c r="D12" s="3" t="n"/>
      <c r="E12" s="3" t="n"/>
      <c r="F12" s="3" t="n"/>
      <c r="G12" s="3" t="n"/>
      <c r="H12" s="3" t="n">
        <v>15</v>
      </c>
      <c r="I12" s="3" t="n">
        <v>140</v>
      </c>
      <c r="J12" s="3" t="n">
        <v>140</v>
      </c>
      <c r="K12" s="3" t="n">
        <v>140</v>
      </c>
      <c r="L12" s="3" t="n">
        <v>140</v>
      </c>
      <c r="M12" s="3" t="n">
        <v>140</v>
      </c>
      <c r="N12" s="3" t="n">
        <v>140</v>
      </c>
      <c r="O12" s="3" t="n">
        <v>140</v>
      </c>
      <c r="P12" s="3" t="n">
        <v>140</v>
      </c>
      <c r="Q12" s="13" t="n">
        <v>140</v>
      </c>
    </row>
    <row r="13">
      <c r="A13" s="14" t="n"/>
      <c r="B13" s="1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13" t="n"/>
    </row>
    <row r="14">
      <c r="A14" s="14" t="inlineStr">
        <is>
          <t>Штрафы скорости (по всем в год)</t>
        </is>
      </c>
      <c r="B14" s="12" t="n"/>
      <c r="C14" s="3" t="n"/>
      <c r="D14" s="3" t="n"/>
      <c r="E14" s="3" t="n"/>
      <c r="F14" s="3" t="n"/>
      <c r="G14" s="3" t="n"/>
      <c r="H14" s="86">
        <f>(H15*H10+H16*H11+H17*H12)*4</f>
        <v/>
      </c>
      <c r="I14" s="86">
        <f>(I15*I10+I16*I11+I17*I12)*12</f>
        <v/>
      </c>
      <c r="J14" s="86">
        <f>(J15*J10+J16*J11+J17*J12)*12</f>
        <v/>
      </c>
      <c r="K14" s="86">
        <f>(K15*K10+K16*K11+K17*K12)*12</f>
        <v/>
      </c>
      <c r="L14" s="86">
        <f>(L15*L10+L16*L11+L17*L12)*12</f>
        <v/>
      </c>
      <c r="M14" s="86">
        <f>(M15*M10+M16*M11+M17*M12)*12</f>
        <v/>
      </c>
      <c r="N14" s="86">
        <f>(N15*N10+N16*N11+N17*N12)*12</f>
        <v/>
      </c>
      <c r="O14" s="86">
        <f>(O15*O10+O16*O11+O17*O12)*12</f>
        <v/>
      </c>
      <c r="P14" s="86">
        <f>(P15*P10+P16*P11+P17*P12)*12</f>
        <v/>
      </c>
      <c r="Q14" s="87">
        <f>(Q15*Q10+Q16*Q11+Q17*Q12)*12</f>
        <v/>
      </c>
    </row>
    <row r="15">
      <c r="A15" s="11" t="inlineStr">
        <is>
          <t>Большой (в мес)</t>
        </is>
      </c>
      <c r="B15" s="12" t="inlineStr">
        <is>
          <t>штрафов</t>
        </is>
      </c>
      <c r="C15" s="3" t="n"/>
      <c r="D15" s="3" t="n"/>
      <c r="E15" s="3" t="n"/>
      <c r="F15" s="3" t="n"/>
      <c r="G15" s="3" t="n"/>
      <c r="H15" s="3" t="n">
        <v>400</v>
      </c>
      <c r="I15" s="5">
        <f>H15/H32</f>
        <v/>
      </c>
      <c r="J15" s="5">
        <f>I15/I32</f>
        <v/>
      </c>
      <c r="K15" s="5">
        <f>J15/J32</f>
        <v/>
      </c>
      <c r="L15" s="5">
        <f>K15/K32</f>
        <v/>
      </c>
      <c r="M15" s="5">
        <f>L15/L32</f>
        <v/>
      </c>
      <c r="N15" s="5">
        <f>M15/M32</f>
        <v/>
      </c>
      <c r="O15" s="5">
        <f>N15/N32</f>
        <v/>
      </c>
      <c r="P15" s="5">
        <f>O15/O32</f>
        <v/>
      </c>
      <c r="Q15" s="17">
        <f>P15/P32</f>
        <v/>
      </c>
      <c r="S15" s="2" t="n">
        <v>12</v>
      </c>
    </row>
    <row r="16">
      <c r="A16" s="11" t="inlineStr">
        <is>
          <t>Средний (в мес)</t>
        </is>
      </c>
      <c r="B16" s="12" t="inlineStr">
        <is>
          <t>штрафов</t>
        </is>
      </c>
      <c r="C16" s="3" t="n"/>
      <c r="D16" s="3" t="n"/>
      <c r="E16" s="3" t="n"/>
      <c r="F16" s="3" t="n"/>
      <c r="G16" s="3" t="n"/>
      <c r="H16" s="3" t="n">
        <v>200</v>
      </c>
      <c r="I16" s="5">
        <f>H16/H32</f>
        <v/>
      </c>
      <c r="J16" s="5">
        <f>I16/I32</f>
        <v/>
      </c>
      <c r="K16" s="5">
        <f>J16/J32</f>
        <v/>
      </c>
      <c r="L16" s="5">
        <f>K16/K32</f>
        <v/>
      </c>
      <c r="M16" s="5">
        <f>L16/L32</f>
        <v/>
      </c>
      <c r="N16" s="5">
        <f>M16/M32</f>
        <v/>
      </c>
      <c r="O16" s="5">
        <f>N16/N32</f>
        <v/>
      </c>
      <c r="P16" s="5">
        <f>O16/O32</f>
        <v/>
      </c>
      <c r="Q16" s="17">
        <f>P16/P32</f>
        <v/>
      </c>
    </row>
    <row r="17">
      <c r="A17" s="11" t="inlineStr">
        <is>
          <t>Малый (в мес)</t>
        </is>
      </c>
      <c r="B17" s="12" t="inlineStr">
        <is>
          <t>штрафов</t>
        </is>
      </c>
      <c r="C17" s="3" t="n"/>
      <c r="D17" s="3" t="n"/>
      <c r="E17" s="3" t="n"/>
      <c r="F17" s="3" t="n"/>
      <c r="G17" s="3" t="n"/>
      <c r="H17" s="3" t="n">
        <v>100</v>
      </c>
      <c r="I17" s="5">
        <f>H17/H32</f>
        <v/>
      </c>
      <c r="J17" s="5">
        <f>I17/I32</f>
        <v/>
      </c>
      <c r="K17" s="5">
        <f>J17/J32</f>
        <v/>
      </c>
      <c r="L17" s="5">
        <f>K17/K32</f>
        <v/>
      </c>
      <c r="M17" s="5">
        <f>L17/L32</f>
        <v/>
      </c>
      <c r="N17" s="5">
        <f>M17/M32</f>
        <v/>
      </c>
      <c r="O17" s="5">
        <f>N17/N32</f>
        <v/>
      </c>
      <c r="P17" s="5">
        <f>O17/O32</f>
        <v/>
      </c>
      <c r="Q17" s="17">
        <f>P17/P32</f>
        <v/>
      </c>
    </row>
    <row r="18" ht="16.5" customHeight="1" thickBot="1">
      <c r="A18" s="18" t="n"/>
      <c r="B18" s="19" t="n"/>
      <c r="C18" s="20" t="n"/>
      <c r="D18" s="20" t="n"/>
      <c r="E18" s="20" t="n"/>
      <c r="F18" s="20" t="n"/>
      <c r="G18" s="20" t="n"/>
      <c r="H18" s="20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2" t="n"/>
    </row>
    <row r="19">
      <c r="A19" s="7" t="inlineStr">
        <is>
          <t>Перекрестки (число запущенных едениц)</t>
        </is>
      </c>
      <c r="B19" s="8" t="n"/>
      <c r="C19" s="9" t="n"/>
      <c r="D19" s="9" t="n"/>
      <c r="E19" s="9" t="n"/>
      <c r="F19" s="9" t="n"/>
      <c r="G19" s="9" t="n"/>
      <c r="H19" s="9" t="n">
        <v>80</v>
      </c>
      <c r="I19" s="9" t="n">
        <v>400</v>
      </c>
      <c r="J19" s="9">
        <f>SUM(J20:J22)</f>
        <v/>
      </c>
      <c r="K19" s="9">
        <f>SUM(K20:K22)</f>
        <v/>
      </c>
      <c r="L19" s="9">
        <f>SUM(L20:L22)</f>
        <v/>
      </c>
      <c r="M19" s="9">
        <f>SUM(M20:M22)</f>
        <v/>
      </c>
      <c r="N19" s="9">
        <f>SUM(N20:N22)</f>
        <v/>
      </c>
      <c r="O19" s="9">
        <f>SUM(O20:O22)</f>
        <v/>
      </c>
      <c r="P19" s="9">
        <f>SUM(P20:P22)</f>
        <v/>
      </c>
      <c r="Q19" s="10">
        <f>SUM(Q20:Q22)</f>
        <v/>
      </c>
    </row>
    <row r="20">
      <c r="A20" s="11" t="inlineStr">
        <is>
          <t>Большой</t>
        </is>
      </c>
      <c r="B20" s="12" t="inlineStr">
        <is>
          <t>штук</t>
        </is>
      </c>
      <c r="C20" s="3" t="n"/>
      <c r="D20" s="3" t="n"/>
      <c r="E20" s="3" t="n"/>
      <c r="F20" s="3" t="n"/>
      <c r="G20" s="3" t="n"/>
      <c r="H20" s="3" t="n">
        <v>30</v>
      </c>
      <c r="I20" s="3" t="n">
        <v>80</v>
      </c>
      <c r="J20" s="3" t="n">
        <v>80</v>
      </c>
      <c r="K20" s="3" t="n">
        <v>80</v>
      </c>
      <c r="L20" s="3" t="n">
        <v>80</v>
      </c>
      <c r="M20" s="3" t="n">
        <v>80</v>
      </c>
      <c r="N20" s="3" t="n">
        <v>80</v>
      </c>
      <c r="O20" s="3" t="n">
        <v>80</v>
      </c>
      <c r="P20" s="3" t="n">
        <v>80</v>
      </c>
      <c r="Q20" s="13" t="n">
        <v>80</v>
      </c>
    </row>
    <row r="21">
      <c r="A21" s="11" t="inlineStr">
        <is>
          <t>Средний</t>
        </is>
      </c>
      <c r="B21" s="12" t="inlineStr">
        <is>
          <t>штук</t>
        </is>
      </c>
      <c r="C21" s="3" t="n"/>
      <c r="D21" s="3" t="n"/>
      <c r="E21" s="3" t="n"/>
      <c r="F21" s="3" t="n"/>
      <c r="G21" s="3" t="n"/>
      <c r="H21" s="3" t="n">
        <v>25</v>
      </c>
      <c r="I21" s="3" t="n">
        <v>160</v>
      </c>
      <c r="J21" s="3" t="n">
        <v>160</v>
      </c>
      <c r="K21" s="3" t="n">
        <v>160</v>
      </c>
      <c r="L21" s="3" t="n">
        <v>160</v>
      </c>
      <c r="M21" s="3" t="n">
        <v>160</v>
      </c>
      <c r="N21" s="3" t="n">
        <v>160</v>
      </c>
      <c r="O21" s="3" t="n">
        <v>160</v>
      </c>
      <c r="P21" s="3" t="n">
        <v>160</v>
      </c>
      <c r="Q21" s="13" t="n">
        <v>160</v>
      </c>
    </row>
    <row r="22">
      <c r="A22" s="11" t="inlineStr">
        <is>
          <t>Малый</t>
        </is>
      </c>
      <c r="B22" s="12" t="inlineStr">
        <is>
          <t>штук</t>
        </is>
      </c>
      <c r="C22" s="3" t="n"/>
      <c r="D22" s="3" t="n"/>
      <c r="E22" s="3" t="n"/>
      <c r="F22" s="3" t="n"/>
      <c r="G22" s="3" t="n"/>
      <c r="H22" s="3" t="n">
        <v>25</v>
      </c>
      <c r="I22" s="3" t="n">
        <v>160</v>
      </c>
      <c r="J22" s="3" t="n">
        <v>160</v>
      </c>
      <c r="K22" s="3" t="n">
        <v>160</v>
      </c>
      <c r="L22" s="3" t="n">
        <v>160</v>
      </c>
      <c r="M22" s="3" t="n">
        <v>160</v>
      </c>
      <c r="N22" s="3" t="n">
        <v>160</v>
      </c>
      <c r="O22" s="3" t="n">
        <v>160</v>
      </c>
      <c r="P22" s="3" t="n">
        <v>160</v>
      </c>
      <c r="Q22" s="13" t="n">
        <v>160</v>
      </c>
    </row>
    <row r="23">
      <c r="A23" s="2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13" t="n"/>
    </row>
    <row r="24">
      <c r="A24" s="14" t="inlineStr">
        <is>
          <t>Штраф стоп линии (по всем в год)</t>
        </is>
      </c>
      <c r="B24" s="12" t="n"/>
      <c r="C24" s="3" t="n"/>
      <c r="D24" s="3" t="n"/>
      <c r="E24" s="3" t="n"/>
      <c r="F24" s="3" t="n"/>
      <c r="G24" s="3" t="n"/>
      <c r="H24" s="86">
        <f>(H25*H20+H26*H21+H27*H22)*4</f>
        <v/>
      </c>
      <c r="I24" s="86">
        <f>(I25*I20+I26*I21+I27*I22)*12</f>
        <v/>
      </c>
      <c r="J24" s="86">
        <f>(J25*J20+J26*J21+J27*J22)*12</f>
        <v/>
      </c>
      <c r="K24" s="86">
        <f>(K25*K20+K26*K21+K27*K22)*12</f>
        <v/>
      </c>
      <c r="L24" s="86">
        <f>(L25*L20+L26*L21+L27*L22)*12</f>
        <v/>
      </c>
      <c r="M24" s="86">
        <f>(M25*M20+M26*M21+M27*M22)*12</f>
        <v/>
      </c>
      <c r="N24" s="86">
        <f>(N25*N20+N26*N21+N27*N22)*12</f>
        <v/>
      </c>
      <c r="O24" s="86">
        <f>(O25*O20+O26*O21+O27*O22)*12</f>
        <v/>
      </c>
      <c r="P24" s="86">
        <f>(P25*P20+P26*P21+P27*P22)*12</f>
        <v/>
      </c>
      <c r="Q24" s="87">
        <f>(Q25*Q20+Q26*Q21+Q27*Q22)*12</f>
        <v/>
      </c>
    </row>
    <row r="25">
      <c r="A25" s="11" t="inlineStr">
        <is>
          <t>Большой (в мес)</t>
        </is>
      </c>
      <c r="B25" s="12" t="inlineStr">
        <is>
          <t>штрафов</t>
        </is>
      </c>
      <c r="C25" s="3" t="n"/>
      <c r="D25" s="3" t="n"/>
      <c r="E25" s="3" t="n"/>
      <c r="F25" s="3" t="n"/>
      <c r="G25" s="3" t="n"/>
      <c r="H25" s="3">
        <f>200</f>
        <v/>
      </c>
      <c r="I25" s="5">
        <f>H25/H32</f>
        <v/>
      </c>
      <c r="J25" s="5">
        <f>I25/I32</f>
        <v/>
      </c>
      <c r="K25" s="5">
        <f>J25/J32</f>
        <v/>
      </c>
      <c r="L25" s="5">
        <f>K25/K32</f>
        <v/>
      </c>
      <c r="M25" s="5">
        <f>L25/L32</f>
        <v/>
      </c>
      <c r="N25" s="5">
        <f>M25/M32</f>
        <v/>
      </c>
      <c r="O25" s="5">
        <f>N25/N32</f>
        <v/>
      </c>
      <c r="P25" s="5">
        <f>O25/O32</f>
        <v/>
      </c>
      <c r="Q25" s="17">
        <f>P25/P32</f>
        <v/>
      </c>
    </row>
    <row r="26">
      <c r="A26" s="11" t="inlineStr">
        <is>
          <t>Средний (в мес)</t>
        </is>
      </c>
      <c r="B26" s="12" t="inlineStr">
        <is>
          <t>штрафов</t>
        </is>
      </c>
      <c r="C26" s="3" t="n"/>
      <c r="D26" s="3" t="n"/>
      <c r="E26" s="3" t="n"/>
      <c r="F26" s="3" t="n"/>
      <c r="G26" s="3" t="n"/>
      <c r="H26" s="3">
        <f>150</f>
        <v/>
      </c>
      <c r="I26" s="5">
        <f>H26/H32</f>
        <v/>
      </c>
      <c r="J26" s="5">
        <f>I26/I32</f>
        <v/>
      </c>
      <c r="K26" s="5">
        <f>J26/J32</f>
        <v/>
      </c>
      <c r="L26" s="5">
        <f>K26/K32</f>
        <v/>
      </c>
      <c r="M26" s="5">
        <f>L26/L32</f>
        <v/>
      </c>
      <c r="N26" s="5">
        <f>M26/M32</f>
        <v/>
      </c>
      <c r="O26" s="5">
        <f>N26/N32</f>
        <v/>
      </c>
      <c r="P26" s="5">
        <f>O26/O32</f>
        <v/>
      </c>
      <c r="Q26" s="17">
        <f>P26/P32</f>
        <v/>
      </c>
    </row>
    <row r="27" ht="16.5" customHeight="1" thickBot="1">
      <c r="A27" s="24" t="inlineStr">
        <is>
          <t>Малый (в мес)</t>
        </is>
      </c>
      <c r="B27" s="12" t="inlineStr">
        <is>
          <t>штрафов</t>
        </is>
      </c>
      <c r="C27" s="20" t="n"/>
      <c r="D27" s="20" t="n"/>
      <c r="E27" s="20" t="n"/>
      <c r="F27" s="20" t="n"/>
      <c r="G27" s="20" t="n"/>
      <c r="H27" s="20">
        <f>100</f>
        <v/>
      </c>
      <c r="I27" s="21">
        <f>H27/H32</f>
        <v/>
      </c>
      <c r="J27" s="21">
        <f>I27/I32</f>
        <v/>
      </c>
      <c r="K27" s="21">
        <f>J27/J32</f>
        <v/>
      </c>
      <c r="L27" s="21">
        <f>K27/K32</f>
        <v/>
      </c>
      <c r="M27" s="21">
        <f>L27/L32</f>
        <v/>
      </c>
      <c r="N27" s="21">
        <f>M27/M32</f>
        <v/>
      </c>
      <c r="O27" s="21">
        <f>N27/N32</f>
        <v/>
      </c>
      <c r="P27" s="21">
        <f>O27/O32</f>
        <v/>
      </c>
      <c r="Q27" s="22">
        <f>P27/P32</f>
        <v/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12" t="inlineStr">
        <is>
          <t>Собираемость</t>
        </is>
      </c>
      <c r="B29" s="12" t="n"/>
      <c r="C29" s="4" t="n"/>
      <c r="D29" s="4" t="n"/>
      <c r="E29" s="4" t="n"/>
      <c r="F29" s="4" t="n"/>
      <c r="G29" s="4" t="n">
        <v>0.3</v>
      </c>
      <c r="H29" s="4">
        <f>G29+H30</f>
        <v/>
      </c>
      <c r="I29" s="4">
        <f>H29+I30</f>
        <v/>
      </c>
      <c r="J29" s="4">
        <f>I29+J30</f>
        <v/>
      </c>
      <c r="K29" s="4">
        <f>J29+K30</f>
        <v/>
      </c>
      <c r="L29" s="4">
        <f>K29+L30</f>
        <v/>
      </c>
      <c r="M29" s="4">
        <f>L29+M30</f>
        <v/>
      </c>
      <c r="N29" s="4">
        <f>M29+N30</f>
        <v/>
      </c>
      <c r="O29" s="4">
        <f>N29+O30</f>
        <v/>
      </c>
      <c r="P29" s="4">
        <f>O29+P30</f>
        <v/>
      </c>
      <c r="Q29" s="4">
        <f>P29+Q30</f>
        <v/>
      </c>
    </row>
    <row r="30">
      <c r="A30" s="12" t="inlineStr">
        <is>
          <t>Рост собираемости</t>
        </is>
      </c>
      <c r="B30" s="12" t="n"/>
      <c r="C30" s="4" t="n"/>
      <c r="D30" s="4" t="n"/>
      <c r="E30" s="4" t="n"/>
      <c r="F30" s="4" t="n"/>
      <c r="G30" s="4" t="n"/>
      <c r="H30" s="26" t="n">
        <v>0.07000000000000001</v>
      </c>
      <c r="I30" s="26" t="n">
        <v>0.1</v>
      </c>
      <c r="J30" s="26" t="n">
        <v>0.1</v>
      </c>
      <c r="K30" s="26" t="n">
        <v>0.05</v>
      </c>
      <c r="L30" s="26" t="n">
        <v>0.05</v>
      </c>
      <c r="M30" s="26" t="n">
        <v>0.04</v>
      </c>
      <c r="N30" s="26" t="n">
        <v>0.03</v>
      </c>
      <c r="O30" s="26" t="n">
        <v>0.02</v>
      </c>
      <c r="P30" s="26" t="n">
        <v>0.01</v>
      </c>
      <c r="Q30" s="26" t="n">
        <v>0.01</v>
      </c>
    </row>
    <row r="31">
      <c r="A31" s="3" t="inlineStr">
        <is>
          <t>Уровень собираемости без проекта</t>
        </is>
      </c>
      <c r="B31" s="3" t="n"/>
      <c r="C31" s="3" t="n"/>
      <c r="D31" s="3" t="n"/>
      <c r="E31" s="3" t="n"/>
      <c r="F31" s="3" t="n"/>
      <c r="G31" s="3" t="n"/>
      <c r="H31" s="3" t="n"/>
      <c r="I31" s="4">
        <f>I29-I30</f>
        <v/>
      </c>
      <c r="J31" s="4">
        <f>J29-J30</f>
        <v/>
      </c>
      <c r="K31" s="4">
        <f>K29-K30</f>
        <v/>
      </c>
      <c r="L31" s="4">
        <f>L29-L30</f>
        <v/>
      </c>
      <c r="M31" s="4">
        <f>M29-M30</f>
        <v/>
      </c>
      <c r="N31" s="4">
        <f>N29-N30</f>
        <v/>
      </c>
      <c r="O31" s="4">
        <f>O29-O30</f>
        <v/>
      </c>
      <c r="P31" s="4">
        <f>P29-P30</f>
        <v/>
      </c>
      <c r="Q31" s="4">
        <f>Q29-Q30</f>
        <v/>
      </c>
    </row>
    <row r="32">
      <c r="A32" s="12" t="inlineStr">
        <is>
          <t>Снижение нарушений в год</t>
        </is>
      </c>
      <c r="B32" s="3" t="n"/>
      <c r="C32" s="3" t="n"/>
      <c r="D32" s="3" t="n"/>
      <c r="E32" s="3" t="n"/>
      <c r="F32" s="3" t="n"/>
      <c r="G32" s="4" t="n">
        <v>1</v>
      </c>
      <c r="H32" s="4" t="n">
        <v>1.06</v>
      </c>
      <c r="I32" s="4" t="n">
        <v>1.25</v>
      </c>
      <c r="J32" s="4" t="n">
        <v>1.3</v>
      </c>
      <c r="K32" s="4" t="n">
        <v>1.2</v>
      </c>
      <c r="L32" s="4" t="n">
        <v>1.2</v>
      </c>
      <c r="M32" s="4" t="n">
        <v>1.15</v>
      </c>
      <c r="N32" s="4" t="n">
        <v>1.15</v>
      </c>
      <c r="O32" s="4" t="n">
        <v>1.1</v>
      </c>
      <c r="P32" s="4" t="n">
        <v>1.1</v>
      </c>
      <c r="Q32" s="4" t="n">
        <v>1.1</v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inlineStr">
        <is>
          <t>Прогноз выписанных штраф за скорость (по 5 МРП)</t>
        </is>
      </c>
      <c r="B34" s="3" t="n"/>
      <c r="C34" s="3" t="n"/>
      <c r="D34" s="3" t="n"/>
      <c r="E34" s="3" t="n"/>
      <c r="F34" s="3" t="n"/>
      <c r="G34" s="3" t="n"/>
      <c r="H34" s="88">
        <f>5*H7*H14*H29</f>
        <v/>
      </c>
      <c r="I34" s="88">
        <f>5*I7*I14*I29</f>
        <v/>
      </c>
      <c r="J34" s="88">
        <f>5*J7*J14*J29</f>
        <v/>
      </c>
      <c r="K34" s="88">
        <f>5*K7*K14*K29</f>
        <v/>
      </c>
      <c r="L34" s="88">
        <f>5*L7*L14*L29</f>
        <v/>
      </c>
      <c r="M34" s="88">
        <f>5*M7*M14*M29</f>
        <v/>
      </c>
      <c r="N34" s="88">
        <f>5*N7*N14*N29</f>
        <v/>
      </c>
      <c r="O34" s="88">
        <f>5*O7*O14*O29</f>
        <v/>
      </c>
      <c r="P34" s="88">
        <f>5*P7*P14*P29</f>
        <v/>
      </c>
      <c r="Q34" s="88">
        <f>5*Q7*Q14*Q29</f>
        <v/>
      </c>
    </row>
    <row r="35">
      <c r="A35" s="3" t="inlineStr">
        <is>
          <t>Прогноз выписанных штраф за стоп линию (по 5 МРП)</t>
        </is>
      </c>
      <c r="B35" s="3" t="n"/>
      <c r="C35" s="3" t="n"/>
      <c r="D35" s="3" t="n"/>
      <c r="E35" s="3" t="n"/>
      <c r="F35" s="3" t="n"/>
      <c r="G35" s="3" t="n"/>
      <c r="H35" s="88">
        <f>5*H7*H24*H29</f>
        <v/>
      </c>
      <c r="I35" s="88">
        <f>5*I7*I24*I29</f>
        <v/>
      </c>
      <c r="J35" s="88">
        <f>5*J7*J24*J29</f>
        <v/>
      </c>
      <c r="K35" s="88">
        <f>5*K7*K24*K29</f>
        <v/>
      </c>
      <c r="L35" s="88">
        <f>5*L7*L24*L29</f>
        <v/>
      </c>
      <c r="M35" s="88">
        <f>5*M7*M24*M29</f>
        <v/>
      </c>
      <c r="N35" s="88">
        <f>5*N7*N24*N29</f>
        <v/>
      </c>
      <c r="O35" s="88">
        <f>5*O7*O24*O29</f>
        <v/>
      </c>
      <c r="P35" s="88">
        <f>5*P7*P24*P29</f>
        <v/>
      </c>
      <c r="Q35" s="88">
        <f>5*Q7*Q24*Q29</f>
        <v/>
      </c>
    </row>
    <row r="36">
      <c r="A36" s="3" t="n"/>
      <c r="B36" s="3" t="n"/>
      <c r="C36" s="3" t="n"/>
      <c r="D36" s="3" t="n"/>
      <c r="E36" s="3" t="n"/>
      <c r="F36" s="3" t="n"/>
      <c r="G36" s="3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</row>
    <row r="37">
      <c r="A37" s="3" t="inlineStr">
        <is>
          <t>Выписано</t>
        </is>
      </c>
      <c r="B37" s="3" t="n"/>
      <c r="C37" s="3" t="n"/>
      <c r="D37" s="3" t="n"/>
      <c r="E37" s="3" t="n"/>
      <c r="F37" s="3" t="n"/>
      <c r="G37" s="3" t="n"/>
      <c r="H37" s="88">
        <f>5*H7*H14+5*H7*H24</f>
        <v/>
      </c>
      <c r="I37" s="88">
        <f>5*I7*I14+5*I7*I24</f>
        <v/>
      </c>
      <c r="J37" s="88">
        <f>5*J7*J14+5*J7*J24</f>
        <v/>
      </c>
      <c r="K37" s="88">
        <f>5*K7*K14+5*K7*K24</f>
        <v/>
      </c>
      <c r="L37" s="88">
        <f>5*L7*L14+5*L7*L24</f>
        <v/>
      </c>
      <c r="M37" s="88">
        <f>5*M7*M14+5*M7*M24</f>
        <v/>
      </c>
      <c r="N37" s="88">
        <f>5*N7*N14+5*N7*N24</f>
        <v/>
      </c>
      <c r="O37" s="88">
        <f>5*O7*O14+5*O7*O24</f>
        <v/>
      </c>
      <c r="P37" s="88">
        <f>5*P7*P14+5*P7*P24</f>
        <v/>
      </c>
      <c r="Q37" s="88">
        <f>5*Q7*Q14+5*Q7*Q24</f>
        <v/>
      </c>
    </row>
    <row r="38">
      <c r="A38" s="3" t="inlineStr">
        <is>
          <t>Собрано</t>
        </is>
      </c>
      <c r="B38" s="3" t="n"/>
      <c r="C38" s="3" t="n"/>
      <c r="D38" s="3" t="n"/>
      <c r="E38" s="3" t="n"/>
      <c r="F38" s="3" t="n"/>
      <c r="G38" s="3" t="n"/>
      <c r="H38" s="88">
        <f>H34+H35</f>
        <v/>
      </c>
      <c r="I38" s="88">
        <f>I34+I35</f>
        <v/>
      </c>
      <c r="J38" s="88">
        <f>J34+J35</f>
        <v/>
      </c>
      <c r="K38" s="88">
        <f>K34+K35</f>
        <v/>
      </c>
      <c r="L38" s="88">
        <f>L34+L35</f>
        <v/>
      </c>
      <c r="M38" s="88">
        <f>M34+M35</f>
        <v/>
      </c>
      <c r="N38" s="88">
        <f>N34+N35</f>
        <v/>
      </c>
      <c r="O38" s="88">
        <f>O34+O35</f>
        <v/>
      </c>
      <c r="P38" s="88">
        <f>P34+P35</f>
        <v/>
      </c>
      <c r="Q38" s="88">
        <f>Q34+Q35</f>
        <v/>
      </c>
    </row>
    <row r="39" hidden="1">
      <c r="A39" s="28" t="inlineStr">
        <is>
          <t xml:space="preserve">Увеличение собираемости штрафов </t>
        </is>
      </c>
      <c r="B39" s="28" t="n"/>
      <c r="C39" s="28" t="n"/>
      <c r="D39" s="28" t="n"/>
      <c r="E39" s="28" t="n"/>
      <c r="F39" s="28" t="n"/>
      <c r="G39" s="28" t="n"/>
      <c r="H39" s="89" t="n">
        <v>0</v>
      </c>
      <c r="I39" s="89">
        <f>I38*I30</f>
        <v/>
      </c>
      <c r="J39" s="89">
        <f>J38*J30</f>
        <v/>
      </c>
      <c r="K39" s="89">
        <f>K38*K30</f>
        <v/>
      </c>
      <c r="L39" s="89">
        <f>L38*L30</f>
        <v/>
      </c>
      <c r="M39" s="89">
        <f>M38*M30</f>
        <v/>
      </c>
      <c r="N39" s="89">
        <f>N38*N30</f>
        <v/>
      </c>
      <c r="O39" s="89">
        <f>O38*O30</f>
        <v/>
      </c>
      <c r="P39" s="89">
        <f>P38*P30</f>
        <v/>
      </c>
      <c r="Q39" s="89">
        <f>Q38*Q30</f>
        <v/>
      </c>
    </row>
    <row r="40" hidden="1">
      <c r="A40" s="28" t="inlineStr">
        <is>
          <t>Уровень собираемости без проекта</t>
        </is>
      </c>
      <c r="B40" s="3" t="n"/>
      <c r="C40" s="3" t="n"/>
      <c r="D40" s="3" t="n"/>
      <c r="E40" s="3" t="n"/>
      <c r="F40" s="3" t="n"/>
      <c r="G40" s="3" t="n"/>
      <c r="H40" s="3" t="n"/>
      <c r="I40" s="90">
        <f>I37*I31</f>
        <v/>
      </c>
      <c r="J40" s="90">
        <f>J37*J31</f>
        <v/>
      </c>
      <c r="K40" s="90">
        <f>K37*K31</f>
        <v/>
      </c>
      <c r="L40" s="90">
        <f>L37*L31</f>
        <v/>
      </c>
      <c r="M40" s="90">
        <f>M37*M31</f>
        <v/>
      </c>
      <c r="N40" s="90">
        <f>N37*N31</f>
        <v/>
      </c>
      <c r="O40" s="90">
        <f>O37*O31</f>
        <v/>
      </c>
      <c r="P40" s="90">
        <f>P37*P31</f>
        <v/>
      </c>
      <c r="Q40" s="90">
        <f>Q37*Q31</f>
        <v/>
      </c>
    </row>
    <row r="41">
      <c r="A41" s="31" t="inlineStr">
        <is>
          <t>Прибыль акимата</t>
        </is>
      </c>
      <c r="H41" s="40" t="n"/>
      <c r="I41" s="40">
        <f>I38-#REF!*1000</f>
        <v/>
      </c>
      <c r="J41" s="40">
        <f>J38-#REF!*1000</f>
        <v/>
      </c>
      <c r="K41" s="40">
        <f>K38-#REF!*1000</f>
        <v/>
      </c>
      <c r="L41" s="40">
        <f>L38-#REF!*1000</f>
        <v/>
      </c>
      <c r="M41" s="40">
        <f>M38-#REF!*1000</f>
        <v/>
      </c>
      <c r="N41" s="40">
        <f>N38-#REF!*1000</f>
        <v/>
      </c>
      <c r="O41" s="40">
        <f>O38-#REF!*1000</f>
        <v/>
      </c>
      <c r="P41" s="40">
        <f>P38-#REF!*1000</f>
        <v/>
      </c>
      <c r="Q41" s="40">
        <f>Q38-#REF!*1000</f>
        <v/>
      </c>
    </row>
    <row r="42">
      <c r="A42" s="31" t="inlineStr">
        <is>
          <t>Итого</t>
        </is>
      </c>
      <c r="I42" s="91">
        <f>SUM(I41:N41)</f>
        <v/>
      </c>
      <c r="J42" s="92" t="n"/>
      <c r="K42" s="92" t="n"/>
      <c r="L42" s="92" t="n"/>
      <c r="M42" s="92" t="n"/>
      <c r="N42" s="92" t="n"/>
      <c r="O42" s="92" t="n"/>
      <c r="P42" s="92" t="n"/>
      <c r="Q42" s="92" t="n"/>
    </row>
    <row r="43">
      <c r="I43" s="33">
        <f>(I24+I14)/365</f>
        <v/>
      </c>
      <c r="J43" s="33">
        <f>I43*12</f>
        <v/>
      </c>
      <c r="K43" s="33" t="n"/>
      <c r="L43" s="33" t="n"/>
      <c r="M43" s="33" t="n"/>
      <c r="N43" s="33" t="n"/>
      <c r="O43" s="33" t="n"/>
      <c r="P43" s="33" t="n"/>
      <c r="Q43" s="33" t="n"/>
    </row>
    <row r="44">
      <c r="A44" s="34" t="inlineStr">
        <is>
          <t>http://www.almatydc.kz/ru/news/127-almaty-usilivaet-napravlenie-bezopasnyj-gorod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</row>
    <row r="45">
      <c r="A45" s="66" t="inlineStr">
        <is>
          <t>Согласно вышеуказанной ссылке, в Алматы по официальность статистике, собираемость за 3 года выросла с 30% по 60%.</t>
        </is>
      </c>
    </row>
    <row r="46"/>
    <row r="47"/>
    <row r="48"/>
    <row r="49"/>
    <row r="50">
      <c r="A50" s="35" t="n"/>
      <c r="B50" s="35" t="n"/>
      <c r="C50" s="35" t="n"/>
      <c r="D50" s="35" t="n"/>
      <c r="E50" s="35" t="n"/>
      <c r="F50" s="35" t="n"/>
      <c r="G50" s="35" t="n"/>
      <c r="H50" s="35" t="n"/>
      <c r="I50" s="35" t="n"/>
    </row>
    <row r="51" ht="18.75" customHeight="1">
      <c r="A51" s="36" t="inlineStr">
        <is>
          <t>В Алматы перекрестков</t>
        </is>
      </c>
      <c r="B51" s="37" t="n"/>
      <c r="C51" s="36" t="n"/>
      <c r="D51" s="36" t="n">
        <v>70</v>
      </c>
      <c r="E51" s="35" t="n"/>
      <c r="F51" s="35" t="n"/>
      <c r="G51" s="35" t="n"/>
      <c r="H51" s="35" t="n"/>
      <c r="I51" s="35" t="n"/>
    </row>
    <row r="52" ht="18.75" customHeight="1">
      <c r="A52" s="36" t="inlineStr">
        <is>
          <t xml:space="preserve">линейных </t>
        </is>
      </c>
      <c r="B52" s="37" t="n"/>
      <c r="C52" s="36" t="n"/>
      <c r="D52" s="36" t="n">
        <v>34</v>
      </c>
      <c r="E52" s="35" t="n"/>
      <c r="F52" s="35" t="n"/>
      <c r="G52" s="35" t="n"/>
      <c r="H52" s="35" t="n"/>
      <c r="I52" s="35" t="n"/>
    </row>
    <row r="53" ht="18.75" customHeight="1">
      <c r="A53" s="36" t="inlineStr">
        <is>
          <t>штрафов стоп линии за 3 года</t>
        </is>
      </c>
      <c r="B53" s="37" t="n"/>
      <c r="C53" s="36" t="n"/>
      <c r="D53" s="38" t="n">
        <v>1000000</v>
      </c>
      <c r="E53" s="35" t="n"/>
      <c r="F53" s="35" t="n"/>
      <c r="G53" s="35" t="n"/>
      <c r="H53" s="35" t="n"/>
      <c r="I53" s="35" t="n"/>
    </row>
    <row r="54" ht="18.75" customHeight="1">
      <c r="A54" s="36" t="inlineStr">
        <is>
          <t>штрафов скорости за 3 года</t>
        </is>
      </c>
      <c r="B54" s="37" t="n"/>
      <c r="C54" s="36" t="n"/>
      <c r="D54" s="38" t="n">
        <v>1000000</v>
      </c>
      <c r="E54" s="35" t="n"/>
      <c r="F54" s="35" t="n"/>
      <c r="G54" s="35" t="n"/>
      <c r="H54" s="35" t="n"/>
      <c r="I54" s="35" t="n"/>
    </row>
    <row r="55" ht="18.75" customHeight="1">
      <c r="A55" s="36" t="inlineStr">
        <is>
          <t>с среднем стоп линия с одного в месяц</t>
        </is>
      </c>
      <c r="B55" s="37" t="n"/>
      <c r="C55" s="36" t="n"/>
      <c r="D55" s="39">
        <f>D53/D51/3/12</f>
        <v/>
      </c>
      <c r="E55" s="35" t="n"/>
      <c r="F55" s="35" t="n"/>
      <c r="G55" s="35" t="n"/>
      <c r="H55" s="35" t="n"/>
      <c r="I55" s="35" t="n"/>
    </row>
    <row r="56" ht="18.75" customHeight="1">
      <c r="A56" s="36" t="inlineStr">
        <is>
          <t>с среднем скорость с одного в месяц</t>
        </is>
      </c>
      <c r="B56" s="37" t="n"/>
      <c r="C56" s="37" t="n"/>
      <c r="D56" s="39">
        <f>D54/D52/3/12</f>
        <v/>
      </c>
    </row>
  </sheetData>
  <mergeCells count="1">
    <mergeCell ref="A45:I49"/>
  </mergeCells>
  <hyperlinks>
    <hyperlink xmlns:r="http://schemas.openxmlformats.org/officeDocument/2006/relationships" ref="A44" r:id="rId1"/>
  </hyperlink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79"/>
  <sheetViews>
    <sheetView workbookViewId="0">
      <selection activeCell="A1" sqref="A1"/>
    </sheetView>
  </sheetViews>
  <sheetFormatPr baseColWidth="8" defaultRowHeight="15"/>
  <sheetData>
    <row r="2">
      <c r="B2" t="inlineStr">
        <is>
          <t>Статья затрат (1-уровень)</t>
        </is>
      </c>
      <c r="C2" t="inlineStr">
        <is>
          <t>Наименование (Артефакт)</t>
        </is>
      </c>
      <c r="D2" t="inlineStr">
        <is>
          <t>CAPEX/OPEX</t>
        </is>
      </c>
      <c r="E2" t="inlineStr">
        <is>
          <t>Ед. измерения</t>
        </is>
      </c>
      <c r="F2" t="inlineStr">
        <is>
          <t>Цена за ед.с НДС, тенге</t>
        </is>
      </c>
      <c r="G2" t="inlineStr">
        <is>
          <t>Поставщик количества</t>
        </is>
      </c>
      <c r="H2" t="inlineStr">
        <is>
          <t>Этап</t>
        </is>
      </c>
      <c r="I2" t="inlineStr">
        <is>
          <t>Поставщик цены</t>
        </is>
      </c>
      <c r="J2" t="inlineStr">
        <is>
          <t>Держатель калькулятора</t>
        </is>
      </c>
      <c r="K2" t="inlineStr">
        <is>
          <t>Поставщик характеристик</t>
        </is>
      </c>
      <c r="L2" t="inlineStr">
        <is>
          <t>Источник (исторические ФЭМ)</t>
        </is>
      </c>
      <c r="M2" t="inlineStr">
        <is>
          <t>Встречаемость в истор. ФЭМ</t>
        </is>
      </c>
    </row>
    <row r="3">
      <c r="B3" t="inlineStr">
        <is>
          <t>Аппаратно-программные комплексы "Сергек"</t>
        </is>
      </c>
      <c r="C3" t="inlineStr">
        <is>
          <t>Аппаратно-программный комплекс "Сергек. Линейный участок"</t>
        </is>
      </c>
      <c r="D3" t="inlineStr">
        <is>
          <t>CAPEX</t>
        </is>
      </c>
      <c r="E3" t="inlineStr">
        <is>
          <t>шт</t>
        </is>
      </c>
      <c r="F3" t="n">
        <v>4800000</v>
      </c>
      <c r="G3" t="inlineStr">
        <is>
          <t>Гос.партнер/ДРБ</t>
        </is>
      </c>
      <c r="H3" t="n">
        <v>0</v>
      </c>
      <c r="I3" t="inlineStr">
        <is>
          <t>ST</t>
        </is>
      </c>
      <c r="J3" t="inlineStr">
        <is>
          <t>Арман Шапаев (Департамент по продуктам)</t>
        </is>
      </c>
      <c r="K3" t="inlineStr">
        <is>
          <t>RnD</t>
        </is>
      </c>
    </row>
    <row r="4">
      <c r="B4" t="inlineStr">
        <is>
          <t>Аппаратно-программные комплексы "Сергек"</t>
        </is>
      </c>
      <c r="C4" t="inlineStr">
        <is>
          <t>Аппаратно-программный комплекс "Сергек. Перекрёсток"</t>
        </is>
      </c>
      <c r="D4" t="inlineStr">
        <is>
          <t>CAPEX</t>
        </is>
      </c>
      <c r="E4" t="inlineStr">
        <is>
          <t>шт</t>
        </is>
      </c>
      <c r="F4" t="n">
        <v>12000000</v>
      </c>
      <c r="G4" t="inlineStr">
        <is>
          <t>Гос.партнер/ДРБ</t>
        </is>
      </c>
      <c r="H4" t="n">
        <v>0</v>
      </c>
      <c r="I4" t="inlineStr">
        <is>
          <t>ST</t>
        </is>
      </c>
      <c r="J4" t="inlineStr">
        <is>
          <t>Арман Шапаев (Департамент по продуктам)</t>
        </is>
      </c>
      <c r="K4" t="inlineStr">
        <is>
          <t>RnD</t>
        </is>
      </c>
    </row>
    <row r="5">
      <c r="B5" t="inlineStr">
        <is>
          <t>Аппаратно-программные комплексы "Сергек"</t>
        </is>
      </c>
      <c r="C5" t="inlineStr">
        <is>
          <t>Аппаратно-программный комплекс "Сергек. Линейный участок v 4.0" на трассе</t>
        </is>
      </c>
      <c r="D5" t="inlineStr">
        <is>
          <t>CAPEX</t>
        </is>
      </c>
      <c r="E5" t="inlineStr">
        <is>
          <t>шт</t>
        </is>
      </c>
      <c r="F5" t="n">
        <v>4800000</v>
      </c>
      <c r="G5" t="inlineStr">
        <is>
          <t>Гос.партнер/ДРБ</t>
        </is>
      </c>
      <c r="H5" t="n">
        <v>0</v>
      </c>
      <c r="I5" t="inlineStr">
        <is>
          <t>ST</t>
        </is>
      </c>
      <c r="J5" t="inlineStr">
        <is>
          <t>Арман Шапаев (Департамент по продуктам)</t>
        </is>
      </c>
      <c r="K5" t="inlineStr">
        <is>
          <t>RnD</t>
        </is>
      </c>
    </row>
    <row r="6">
      <c r="B6" t="inlineStr">
        <is>
          <t>Аппаратно-программные комплексы "Сергек"</t>
        </is>
      </c>
      <c r="C6" t="inlineStr">
        <is>
          <t>Комплект камер высокого разрешения</t>
        </is>
      </c>
      <c r="D6" t="inlineStr">
        <is>
          <t>CAPEX</t>
        </is>
      </c>
      <c r="E6" t="inlineStr">
        <is>
          <t>шт</t>
        </is>
      </c>
      <c r="F6" t="n">
        <v>2550000</v>
      </c>
      <c r="G6" t="inlineStr">
        <is>
          <t>Гос.партнер/ДРБ</t>
        </is>
      </c>
      <c r="H6" t="n">
        <v>0</v>
      </c>
      <c r="I6" t="inlineStr">
        <is>
          <t>ST</t>
        </is>
      </c>
      <c r="J6" t="inlineStr">
        <is>
          <t>Арман Шапаев (Департамент по продуктам)</t>
        </is>
      </c>
      <c r="K6" t="inlineStr">
        <is>
          <t>RnD</t>
        </is>
      </c>
    </row>
    <row r="7">
      <c r="B7" t="inlineStr">
        <is>
          <t>Аппаратно-программные комплексы "Сергек"</t>
        </is>
      </c>
      <c r="C7" t="inlineStr">
        <is>
          <t>Радар</t>
        </is>
      </c>
      <c r="D7" t="inlineStr">
        <is>
          <t>CAPEX</t>
        </is>
      </c>
      <c r="E7" t="inlineStr">
        <is>
          <t>шт</t>
        </is>
      </c>
      <c r="F7" t="n">
        <v>850000</v>
      </c>
      <c r="G7" t="inlineStr">
        <is>
          <t>Гос.партнер/ДРБ</t>
        </is>
      </c>
      <c r="H7" t="n">
        <v>0</v>
      </c>
      <c r="I7" t="inlineStr">
        <is>
          <t>ST</t>
        </is>
      </c>
      <c r="J7" t="inlineStr">
        <is>
          <t>Арман Шапаев (Департамент по продуктам)</t>
        </is>
      </c>
      <c r="K7" t="inlineStr">
        <is>
          <t>RnD</t>
        </is>
      </c>
    </row>
    <row r="8">
      <c r="B8" t="inlineStr">
        <is>
          <t>Аппаратно-программные комплексы "Сергек"</t>
        </is>
      </c>
      <c r="C8" t="inlineStr">
        <is>
          <t>Счетчики АСКУЭ, включая монтаж, опломбирование и ввод в эксплуатацию</t>
        </is>
      </c>
      <c r="D8" t="inlineStr">
        <is>
          <t>CAPEX</t>
        </is>
      </c>
      <c r="E8" t="inlineStr">
        <is>
          <t>шт</t>
        </is>
      </c>
      <c r="F8" t="n">
        <v>100000</v>
      </c>
      <c r="G8" t="inlineStr">
        <is>
          <t>Никто (автоматом калькулятор Манько Г.)</t>
        </is>
      </c>
      <c r="I8" t="inlineStr">
        <is>
          <t>ST</t>
        </is>
      </c>
      <c r="J8" t="inlineStr">
        <is>
          <t>Григорий Манько (ФД)</t>
        </is>
      </c>
      <c r="K8" t="inlineStr">
        <is>
          <t>Никто (автоматом калькулятор Манько Г.)</t>
        </is>
      </c>
    </row>
    <row r="9">
      <c r="B9" t="inlineStr">
        <is>
          <t>Аппаратно-программные комплексы "Сергек"</t>
        </is>
      </c>
      <c r="C9" t="inlineStr">
        <is>
          <t>Железобетонная стойка</t>
        </is>
      </c>
      <c r="D9" t="inlineStr">
        <is>
          <t>CAPEX</t>
        </is>
      </c>
      <c r="E9" t="inlineStr">
        <is>
          <t>шт</t>
        </is>
      </c>
      <c r="F9" t="n">
        <v>1485000</v>
      </c>
      <c r="G9" t="inlineStr">
        <is>
          <t>Никто (автоматом калькулятор Манько Г.)</t>
        </is>
      </c>
      <c r="I9" t="inlineStr">
        <is>
          <t>ST</t>
        </is>
      </c>
      <c r="J9" t="inlineStr">
        <is>
          <t>Григорий Манько (ФД)</t>
        </is>
      </c>
      <c r="K9" t="inlineStr">
        <is>
          <t>Никто (автоматом калькулятор Манько Г.)</t>
        </is>
      </c>
    </row>
    <row r="10">
      <c r="B10" t="inlineStr">
        <is>
          <t>Камеры общественной безопасности</t>
        </is>
      </c>
      <c r="C10" t="inlineStr">
        <is>
          <t>Варифакальные, включая комплект расходных материалов для монтажа</t>
        </is>
      </c>
      <c r="D10" t="inlineStr">
        <is>
          <t>CAPEX</t>
        </is>
      </c>
      <c r="E10" t="inlineStr">
        <is>
          <t>шт</t>
        </is>
      </c>
      <c r="F10" t="n">
        <v>600000</v>
      </c>
      <c r="G10" t="inlineStr">
        <is>
          <t>Гос.партнер/ДРБ</t>
        </is>
      </c>
      <c r="H10" t="n">
        <v>0</v>
      </c>
      <c r="I10" t="inlineStr">
        <is>
          <t>ДРБ</t>
        </is>
      </c>
      <c r="J10" t="inlineStr">
        <is>
          <t>Арман Шапаев (Департамент по продуктам)</t>
        </is>
      </c>
      <c r="K10" t="inlineStr">
        <is>
          <t>RnD</t>
        </is>
      </c>
    </row>
    <row r="11">
      <c r="B11" t="inlineStr">
        <is>
          <t>Камеры общественной безопасности</t>
        </is>
      </c>
      <c r="C11" t="inlineStr">
        <is>
          <t>Фиксированная,включая комплект расходных материалов для монтажа</t>
        </is>
      </c>
      <c r="D11" t="inlineStr">
        <is>
          <t>CAPEX</t>
        </is>
      </c>
      <c r="E11" t="inlineStr">
        <is>
          <t>шт</t>
        </is>
      </c>
      <c r="F11" t="n">
        <v>300000</v>
      </c>
      <c r="G11" t="inlineStr">
        <is>
          <t>Гос.партнер/ДРБ</t>
        </is>
      </c>
      <c r="H11" t="n">
        <v>0</v>
      </c>
      <c r="I11" t="inlineStr">
        <is>
          <t>ДРБ</t>
        </is>
      </c>
      <c r="J11" t="inlineStr">
        <is>
          <t>Арман Шапаев (Департамент по продуктам)</t>
        </is>
      </c>
      <c r="K11" t="inlineStr">
        <is>
          <t>RnD</t>
        </is>
      </c>
    </row>
    <row r="12">
      <c r="B12" t="inlineStr">
        <is>
          <t>Камеры общественной безопасности</t>
        </is>
      </c>
      <c r="C12" t="inlineStr">
        <is>
          <t>Интеграция, включая комплект расходных материалов для монтажа</t>
        </is>
      </c>
      <c r="D12" t="inlineStr">
        <is>
          <t>CAPEX</t>
        </is>
      </c>
      <c r="E12" t="inlineStr">
        <is>
          <t>шт</t>
        </is>
      </c>
      <c r="F12" t="n">
        <v>180000</v>
      </c>
      <c r="G12" t="inlineStr">
        <is>
          <t>Гос.партнер/ДРБ</t>
        </is>
      </c>
      <c r="H12" t="n">
        <v>0</v>
      </c>
      <c r="I12" t="inlineStr">
        <is>
          <t>ДРБ</t>
        </is>
      </c>
      <c r="J12" t="inlineStr">
        <is>
          <t>Никто (автоматом калькулятор Манько Г.)</t>
        </is>
      </c>
      <c r="K12" t="inlineStr">
        <is>
          <t>Никто (автоматом калькулятор Манько Г.)</t>
        </is>
      </c>
    </row>
    <row r="13">
      <c r="B13" t="inlineStr">
        <is>
          <t>Камеры общественной безопасности</t>
        </is>
      </c>
      <c r="C13" t="inlineStr">
        <is>
          <t>Объект размещения ОВН</t>
        </is>
      </c>
      <c r="D13" t="inlineStr">
        <is>
          <t>CAPEX</t>
        </is>
      </c>
      <c r="E13" t="inlineStr">
        <is>
          <t>шт</t>
        </is>
      </c>
      <c r="F13" t="n">
        <v>180000</v>
      </c>
      <c r="G13" t="inlineStr">
        <is>
          <t>Никто (автоматом калькулятор Манько Г.)</t>
        </is>
      </c>
      <c r="H13" t="n">
        <v>0</v>
      </c>
      <c r="I13" t="inlineStr">
        <is>
          <t>ДРБ</t>
        </is>
      </c>
      <c r="J13" t="inlineStr">
        <is>
          <t>Никто (автоматом калькулятор Манько Г.)</t>
        </is>
      </c>
      <c r="K13" t="inlineStr">
        <is>
          <t>Никто (автоматом калькулятор Манько Г.)</t>
        </is>
      </c>
    </row>
    <row r="14">
      <c r="B14" t="inlineStr">
        <is>
          <t>Центр обработки и анализа данных</t>
        </is>
      </c>
      <c r="C14" t="inlineStr">
        <is>
          <t>Оборудование помещения серверной: Кондиционирование, СКУД, видеонаблюдение, система мониторинга, электропитание, серверные шкафы, СКС, пожаротушение, фальшпол</t>
        </is>
      </c>
      <c r="D14" t="inlineStr">
        <is>
          <t>CAPEX</t>
        </is>
      </c>
      <c r="F14" t="n">
        <v>160000000</v>
      </c>
      <c r="G14" t="inlineStr">
        <is>
          <t>Zerek</t>
        </is>
      </c>
      <c r="H14" t="n">
        <v>5</v>
      </c>
      <c r="I14" t="inlineStr">
        <is>
          <t>ДРБ</t>
        </is>
      </c>
      <c r="J14" t="inlineStr">
        <is>
          <t>Zerek</t>
        </is>
      </c>
      <c r="K14" t="inlineStr">
        <is>
          <t>Zerek</t>
        </is>
      </c>
    </row>
    <row r="15">
      <c r="B15" t="inlineStr">
        <is>
          <t>Центр обработки и анализа данных</t>
        </is>
      </c>
      <c r="C15" t="inlineStr">
        <is>
          <t>Сервера для обработки данных и анализа</t>
        </is>
      </c>
      <c r="D15" t="inlineStr">
        <is>
          <t>CAPEX</t>
        </is>
      </c>
      <c r="F15" t="n">
        <v>25800000</v>
      </c>
      <c r="G15" t="inlineStr">
        <is>
          <t>Zerek</t>
        </is>
      </c>
      <c r="H15" t="n">
        <v>5</v>
      </c>
      <c r="I15" t="inlineStr">
        <is>
          <t>ДРБ</t>
        </is>
      </c>
      <c r="J15" t="inlineStr">
        <is>
          <t>Zerek</t>
        </is>
      </c>
      <c r="K15" t="inlineStr">
        <is>
          <t>Zerek</t>
        </is>
      </c>
    </row>
    <row r="16">
      <c r="B16" t="inlineStr">
        <is>
          <t>Центр обработки и анализа данных</t>
        </is>
      </c>
      <c r="C16" t="inlineStr">
        <is>
          <t>Сервер резервного копирования</t>
        </is>
      </c>
      <c r="D16" t="inlineStr">
        <is>
          <t>CAPEX</t>
        </is>
      </c>
      <c r="F16" t="n">
        <v>18000000</v>
      </c>
      <c r="G16" t="inlineStr">
        <is>
          <t>Zerek</t>
        </is>
      </c>
      <c r="H16" t="n">
        <v>5</v>
      </c>
      <c r="I16" t="inlineStr">
        <is>
          <t>ДРБ</t>
        </is>
      </c>
      <c r="J16" t="inlineStr">
        <is>
          <t>Zerek</t>
        </is>
      </c>
      <c r="K16" t="inlineStr">
        <is>
          <t>Zerek</t>
        </is>
      </c>
    </row>
    <row r="17">
      <c r="B17" t="inlineStr">
        <is>
          <t>Центр обработки и анализа данных</t>
        </is>
      </c>
      <c r="C17" t="inlineStr">
        <is>
          <t>Система хранения данных, HDD</t>
        </is>
      </c>
      <c r="D17" t="inlineStr">
        <is>
          <t>CAPEX</t>
        </is>
      </c>
      <c r="F17" t="n">
        <v>26000000</v>
      </c>
      <c r="G17" t="inlineStr">
        <is>
          <t>Zerek</t>
        </is>
      </c>
      <c r="H17" t="n">
        <v>5</v>
      </c>
      <c r="I17" t="inlineStr">
        <is>
          <t>ДРБ</t>
        </is>
      </c>
      <c r="J17" t="inlineStr">
        <is>
          <t>Zerek</t>
        </is>
      </c>
      <c r="K17" t="inlineStr">
        <is>
          <t>Zerek</t>
        </is>
      </c>
    </row>
    <row r="18">
      <c r="B18" t="inlineStr">
        <is>
          <t>Центр обработки и анализа данных</t>
        </is>
      </c>
      <c r="C18" t="inlineStr">
        <is>
          <t>Система хранения данных, SSD</t>
        </is>
      </c>
      <c r="D18" t="inlineStr">
        <is>
          <t>CAPEX</t>
        </is>
      </c>
      <c r="F18" t="n">
        <v>260000000</v>
      </c>
      <c r="G18" t="inlineStr">
        <is>
          <t>Zerek</t>
        </is>
      </c>
      <c r="H18" t="n">
        <v>5</v>
      </c>
      <c r="I18" t="inlineStr">
        <is>
          <t>ДРБ</t>
        </is>
      </c>
      <c r="J18" t="inlineStr">
        <is>
          <t>Zerek</t>
        </is>
      </c>
      <c r="K18" t="inlineStr">
        <is>
          <t>Zerek</t>
        </is>
      </c>
    </row>
    <row r="19">
      <c r="B19" t="inlineStr">
        <is>
          <t>Центр обработки и анализа данных</t>
        </is>
      </c>
      <c r="C19" t="inlineStr">
        <is>
          <t>Коммутационное оборудование, комплект</t>
        </is>
      </c>
      <c r="D19" t="inlineStr">
        <is>
          <t>CAPEX</t>
        </is>
      </c>
      <c r="F19" t="n">
        <v>12000000</v>
      </c>
      <c r="G19" t="inlineStr">
        <is>
          <t>Zerek</t>
        </is>
      </c>
      <c r="H19" t="n">
        <v>5</v>
      </c>
      <c r="I19" t="inlineStr">
        <is>
          <t>ДРБ</t>
        </is>
      </c>
      <c r="J19" t="inlineStr">
        <is>
          <t>Zerek</t>
        </is>
      </c>
      <c r="K19" t="inlineStr">
        <is>
          <t>Zerek</t>
        </is>
      </c>
    </row>
    <row r="20">
      <c r="B20" t="inlineStr">
        <is>
          <t>Центр обработки и анализа данных</t>
        </is>
      </c>
      <c r="C20" t="inlineStr">
        <is>
          <t>Маршрутизаторы</t>
        </is>
      </c>
      <c r="D20" t="inlineStr">
        <is>
          <t>CAPEX</t>
        </is>
      </c>
      <c r="F20" t="n">
        <v>3500000</v>
      </c>
      <c r="G20" t="inlineStr">
        <is>
          <t>Zerek</t>
        </is>
      </c>
      <c r="H20" t="n">
        <v>5</v>
      </c>
      <c r="I20" t="inlineStr">
        <is>
          <t>ДРБ</t>
        </is>
      </c>
      <c r="J20" t="inlineStr">
        <is>
          <t>Zerek</t>
        </is>
      </c>
      <c r="K20" t="inlineStr">
        <is>
          <t>Zerek</t>
        </is>
      </c>
    </row>
    <row r="21">
      <c r="B21" t="inlineStr">
        <is>
          <t>Центр обработки и анализа данных</t>
        </is>
      </c>
      <c r="C21" t="inlineStr">
        <is>
          <t>Система предотвращения вторжений (IPS)</t>
        </is>
      </c>
      <c r="D21" t="inlineStr">
        <is>
          <t>CAPEX</t>
        </is>
      </c>
      <c r="F21" t="n">
        <v>14000000</v>
      </c>
      <c r="G21" t="inlineStr">
        <is>
          <t>Zerek</t>
        </is>
      </c>
      <c r="H21" t="n">
        <v>5</v>
      </c>
      <c r="I21" t="inlineStr">
        <is>
          <t>ДРБ</t>
        </is>
      </c>
      <c r="J21" t="inlineStr">
        <is>
          <t>Zerek</t>
        </is>
      </c>
      <c r="K21" t="inlineStr">
        <is>
          <t>Zerek</t>
        </is>
      </c>
    </row>
    <row r="22">
      <c r="B22" t="inlineStr">
        <is>
          <t>Центр обработки и анализа данных</t>
        </is>
      </c>
      <c r="C22" t="inlineStr">
        <is>
          <t>Прохождение испытаний на соответствие требованиям ИБ у АО "ГТС"</t>
        </is>
      </c>
      <c r="D22" t="inlineStr">
        <is>
          <t>CAPEX</t>
        </is>
      </c>
      <c r="F22" t="n">
        <v>18000000</v>
      </c>
      <c r="G22" t="inlineStr">
        <is>
          <t>Zerek</t>
        </is>
      </c>
      <c r="H22" t="n">
        <v>5</v>
      </c>
      <c r="I22" t="inlineStr">
        <is>
          <t>ДРБ</t>
        </is>
      </c>
      <c r="J22" t="inlineStr">
        <is>
          <t>Zerek</t>
        </is>
      </c>
      <c r="K22" t="inlineStr">
        <is>
          <t>Zerek</t>
        </is>
      </c>
    </row>
    <row r="23">
      <c r="B23" t="inlineStr">
        <is>
          <t>Центр обработки и анализа данных</t>
        </is>
      </c>
      <c r="C23" t="inlineStr">
        <is>
          <t>ПО для серверов</t>
        </is>
      </c>
      <c r="D23" t="inlineStr">
        <is>
          <t>CAPEX</t>
        </is>
      </c>
      <c r="F23" t="n">
        <v>251074474</v>
      </c>
      <c r="G23" t="inlineStr">
        <is>
          <t>Zerek</t>
        </is>
      </c>
      <c r="H23" t="n">
        <v>5</v>
      </c>
      <c r="I23" t="inlineStr">
        <is>
          <t>ДРБ</t>
        </is>
      </c>
      <c r="J23" t="inlineStr">
        <is>
          <t>Zerek</t>
        </is>
      </c>
      <c r="K23" t="inlineStr">
        <is>
          <t>Zerek</t>
        </is>
      </c>
    </row>
    <row r="24">
      <c r="B24" t="inlineStr">
        <is>
          <t>Оснащение рабочих мест Ситуационного центра</t>
        </is>
      </c>
      <c r="C24" t="inlineStr">
        <is>
          <t>Рабочее место оператора</t>
        </is>
      </c>
      <c r="D24" t="inlineStr">
        <is>
          <t>CAPEX</t>
        </is>
      </c>
      <c r="F24" t="n">
        <v>900000</v>
      </c>
      <c r="G24" t="inlineStr">
        <is>
          <t>Гос.партнер/ДРБ</t>
        </is>
      </c>
      <c r="I24" t="inlineStr">
        <is>
          <t>Никто (автоматом калькулятор Манько Г.)</t>
        </is>
      </c>
      <c r="J24" t="inlineStr">
        <is>
          <t>Незивестно</t>
        </is>
      </c>
      <c r="K24" t="inlineStr">
        <is>
          <t>Никто (автоматом калькулятор Манько Г.)</t>
        </is>
      </c>
    </row>
    <row r="25">
      <c r="B25" t="inlineStr">
        <is>
          <t>Стоимость монтажных работ и услуг для запуска проекта</t>
        </is>
      </c>
      <c r="C25" t="inlineStr">
        <is>
          <t>Монтаж АПК на линейном участке</t>
        </is>
      </c>
      <c r="D25" t="inlineStr">
        <is>
          <t>CAPEX</t>
        </is>
      </c>
      <c r="E25" t="inlineStr">
        <is>
          <t>услуга</t>
        </is>
      </c>
      <c r="F25" t="n">
        <v>160000</v>
      </c>
      <c r="G25" t="inlineStr">
        <is>
          <t>Никто (автоматом калькулятор Манько Г.)</t>
        </is>
      </c>
      <c r="H25" t="n">
        <v>1</v>
      </c>
      <c r="I25" t="inlineStr">
        <is>
          <t>ДРБ/ДУП/ФД</t>
        </is>
      </c>
      <c r="J25" t="inlineStr">
        <is>
          <t>Григорий Манько</t>
        </is>
      </c>
    </row>
    <row r="26">
      <c r="B26" t="inlineStr">
        <is>
          <t>Стоимость монтажных работ и услуг для запуска проекта</t>
        </is>
      </c>
      <c r="C26" t="inlineStr">
        <is>
          <t>Монтаж АПК на перекрестке</t>
        </is>
      </c>
      <c r="D26" t="inlineStr">
        <is>
          <t>CAPEX</t>
        </is>
      </c>
      <c r="E26" t="inlineStr">
        <is>
          <t>услуга</t>
        </is>
      </c>
      <c r="F26" t="n">
        <v>280000</v>
      </c>
      <c r="G26" t="inlineStr">
        <is>
          <t>Никто (автоматом калькулятор Манько Г.)</t>
        </is>
      </c>
      <c r="H26" t="n">
        <v>1</v>
      </c>
      <c r="I26" t="inlineStr">
        <is>
          <t>ДРБ/ДУП/ФД</t>
        </is>
      </c>
      <c r="J26" t="inlineStr">
        <is>
          <t>Григорий Манько</t>
        </is>
      </c>
    </row>
    <row r="27">
      <c r="B27" t="inlineStr">
        <is>
          <t>Стоимость монтажных работ и услуг для запуска проекта</t>
        </is>
      </c>
      <c r="C27" t="inlineStr">
        <is>
          <t>Монтаж камеры общего видеонаблюдения</t>
        </is>
      </c>
      <c r="D27" t="inlineStr">
        <is>
          <t>CAPEX</t>
        </is>
      </c>
      <c r="E27" t="inlineStr">
        <is>
          <t>услуга</t>
        </is>
      </c>
      <c r="F27" t="n">
        <v>160000</v>
      </c>
      <c r="G27" t="inlineStr">
        <is>
          <t>Никто (автоматом калькулятор Манько Г.)</t>
        </is>
      </c>
      <c r="H27" t="n">
        <v>1</v>
      </c>
      <c r="I27" t="inlineStr">
        <is>
          <t>ДРБ/ДУП/ФД</t>
        </is>
      </c>
      <c r="J27" t="inlineStr">
        <is>
          <t>Григорий Манько</t>
        </is>
      </c>
    </row>
    <row r="28">
      <c r="B28" t="inlineStr">
        <is>
          <t>Стоимость монтажных работ и услуг для запуска проекта</t>
        </is>
      </c>
      <c r="C28" t="inlineStr">
        <is>
          <t>Монтаж камеры интеграции</t>
        </is>
      </c>
      <c r="D28" t="inlineStr">
        <is>
          <t>CAPEX</t>
        </is>
      </c>
      <c r="E28" t="inlineStr">
        <is>
          <t>услуга</t>
        </is>
      </c>
      <c r="F28" t="n">
        <v>34000</v>
      </c>
      <c r="G28" t="inlineStr">
        <is>
          <t>Никто (автоматом калькулятор Манько Г.)</t>
        </is>
      </c>
      <c r="H28" t="n">
        <v>1</v>
      </c>
      <c r="I28" t="inlineStr">
        <is>
          <t>ДРБ/ДУП/ФД</t>
        </is>
      </c>
      <c r="J28" t="inlineStr">
        <is>
          <t>Григорий Манько</t>
        </is>
      </c>
    </row>
    <row r="29">
      <c r="B29" t="inlineStr">
        <is>
          <t>Стоимость монтажных работ и услуг для запуска проекта</t>
        </is>
      </c>
      <c r="C29" t="inlineStr">
        <is>
          <t>Монтаж и запуск серверов</t>
        </is>
      </c>
      <c r="D29" t="inlineStr">
        <is>
          <t>CAPEX</t>
        </is>
      </c>
      <c r="E29" t="inlineStr">
        <is>
          <t>услуга</t>
        </is>
      </c>
      <c r="F29" t="n">
        <v>4200000</v>
      </c>
      <c r="G29" t="inlineStr">
        <is>
          <t>Никто (автоматом калькулятор Манько Г.)</t>
        </is>
      </c>
      <c r="H29" t="n">
        <v>1</v>
      </c>
      <c r="I29" t="inlineStr">
        <is>
          <t>ДРБ/ДУП/ФД</t>
        </is>
      </c>
      <c r="J29" t="inlineStr">
        <is>
          <t>Григорий Манько</t>
        </is>
      </c>
    </row>
    <row r="30">
      <c r="B30" t="inlineStr">
        <is>
          <t>Стоимость монтажных работ и услуг для запуска проекта</t>
        </is>
      </c>
      <c r="C30" t="inlineStr">
        <is>
          <t>Услуги по сопровождению испытаний на соответствие требованиям ИБ</t>
        </is>
      </c>
      <c r="D30" t="inlineStr">
        <is>
          <t>CAPEX</t>
        </is>
      </c>
      <c r="E30" t="inlineStr">
        <is>
          <t>услуга</t>
        </is>
      </c>
      <c r="F30" t="n">
        <v>7500000</v>
      </c>
      <c r="G30" t="inlineStr">
        <is>
          <t>Никто (автоматом калькулятор Манько Г.)</t>
        </is>
      </c>
      <c r="H30" t="n">
        <v>1</v>
      </c>
      <c r="I30" t="inlineStr">
        <is>
          <t>ДРБ/ДУП/ФД</t>
        </is>
      </c>
      <c r="J30" t="inlineStr">
        <is>
          <t>Григорий Манько</t>
        </is>
      </c>
    </row>
    <row r="31">
      <c r="B31" t="inlineStr">
        <is>
          <t>Стоимость монтажных работ и услуг для запуска проекта</t>
        </is>
      </c>
      <c r="C31" t="inlineStr">
        <is>
          <t>Поверка АПК</t>
        </is>
      </c>
      <c r="D31" t="inlineStr">
        <is>
          <t>CAPEX</t>
        </is>
      </c>
      <c r="E31" t="inlineStr">
        <is>
          <t>услуга</t>
        </is>
      </c>
      <c r="F31" t="n">
        <v>60000</v>
      </c>
      <c r="G31" t="inlineStr">
        <is>
          <t>Никто (автоматом калькулятор Манько Г.)</t>
        </is>
      </c>
      <c r="H31" t="n">
        <v>1</v>
      </c>
      <c r="I31" t="inlineStr">
        <is>
          <t>ДРБ/ДУП/ФД</t>
        </is>
      </c>
      <c r="J31" t="inlineStr">
        <is>
          <t>Григорий Манько</t>
        </is>
      </c>
      <c r="K31" t="inlineStr">
        <is>
          <t>RnD</t>
        </is>
      </c>
    </row>
    <row r="32">
      <c r="B32" t="inlineStr">
        <is>
          <t>Стоимость монтажных работ и услуг для запуска проекта</t>
        </is>
      </c>
      <c r="C32" t="inlineStr">
        <is>
          <t>Подключение ЦОД к постоянному питанию</t>
        </is>
      </c>
      <c r="D32" t="inlineStr">
        <is>
          <t>CAPEX</t>
        </is>
      </c>
      <c r="E32" t="inlineStr">
        <is>
          <t>услуга</t>
        </is>
      </c>
      <c r="F32" t="n">
        <v>7920000</v>
      </c>
      <c r="G32" t="inlineStr">
        <is>
          <t>Никто (автоматом калькулятор Манько Г.)</t>
        </is>
      </c>
      <c r="H32" t="n">
        <v>1</v>
      </c>
      <c r="I32" t="inlineStr">
        <is>
          <t>ДРБ/ДУП/ФД</t>
        </is>
      </c>
      <c r="J32" t="inlineStr">
        <is>
          <t>Григорий Манько</t>
        </is>
      </c>
    </row>
    <row r="33">
      <c r="B33" t="inlineStr">
        <is>
          <t>Стоимость монтажных работ и услуг для запуска проекта</t>
        </is>
      </c>
      <c r="C33" t="inlineStr">
        <is>
          <t>Подключение к каналам связи АПК</t>
        </is>
      </c>
      <c r="D33" t="inlineStr">
        <is>
          <t>CAPEX</t>
        </is>
      </c>
      <c r="E33" t="inlineStr">
        <is>
          <t>услуга</t>
        </is>
      </c>
      <c r="F33" t="n">
        <v>300000</v>
      </c>
      <c r="G33" t="inlineStr">
        <is>
          <t>Никто (автоматом калькулятор Манько Г.)</t>
        </is>
      </c>
      <c r="H33" t="n">
        <v>1</v>
      </c>
      <c r="I33" t="inlineStr">
        <is>
          <t>ДРБ/ДУП/ФД</t>
        </is>
      </c>
      <c r="J33" t="inlineStr">
        <is>
          <t>Григорий Манько</t>
        </is>
      </c>
    </row>
    <row r="34">
      <c r="B34" t="inlineStr">
        <is>
          <t>Стоимость монтажных работ и услуг для запуска проекта</t>
        </is>
      </c>
      <c r="C34" t="inlineStr">
        <is>
          <t>Подключение к каналам связи объектов ОВН</t>
        </is>
      </c>
      <c r="D34" t="inlineStr">
        <is>
          <t>CAPEX</t>
        </is>
      </c>
      <c r="E34" t="inlineStr">
        <is>
          <t>услуга</t>
        </is>
      </c>
      <c r="F34" t="n">
        <v>300000</v>
      </c>
      <c r="G34" t="inlineStr">
        <is>
          <t>Никто (автоматом калькулятор Манько Г.)</t>
        </is>
      </c>
      <c r="H34" t="n">
        <v>1</v>
      </c>
      <c r="I34" t="inlineStr">
        <is>
          <t>ДРБ/ДУП/ФД</t>
        </is>
      </c>
      <c r="J34" t="inlineStr">
        <is>
          <t>Григорий Манько</t>
        </is>
      </c>
    </row>
    <row r="35">
      <c r="B35" t="inlineStr">
        <is>
          <t>Стоимость монтажных работ и услуг для запуска проекта</t>
        </is>
      </c>
      <c r="C35" t="inlineStr">
        <is>
          <t>Подключение к каналам связи ЦОД</t>
        </is>
      </c>
      <c r="D35" t="inlineStr">
        <is>
          <t>CAPEX</t>
        </is>
      </c>
      <c r="E35" t="inlineStr">
        <is>
          <t>услуга</t>
        </is>
      </c>
      <c r="F35" t="n">
        <v>9600000</v>
      </c>
      <c r="G35" t="inlineStr">
        <is>
          <t>Никто (автоматом калькулятор Манько Г.)</t>
        </is>
      </c>
      <c r="H35" t="n">
        <v>1</v>
      </c>
      <c r="I35" t="inlineStr">
        <is>
          <t>ДРБ/ДУП/ФД</t>
        </is>
      </c>
      <c r="J35" t="inlineStr">
        <is>
          <t>Григорий Манько</t>
        </is>
      </c>
    </row>
    <row r="36">
      <c r="B36" t="inlineStr">
        <is>
          <t>Стоимость монтажных работ и услуг для запуска проекта</t>
        </is>
      </c>
      <c r="C36" t="inlineStr">
        <is>
          <t>Подключение интернет к ЦОДу</t>
        </is>
      </c>
      <c r="D36" t="inlineStr">
        <is>
          <t>CAPEX</t>
        </is>
      </c>
      <c r="E36" t="inlineStr">
        <is>
          <t>услуга</t>
        </is>
      </c>
      <c r="F36" t="n">
        <v>120000</v>
      </c>
      <c r="G36" t="inlineStr">
        <is>
          <t>Никто (автоматом калькулятор Манько Г.)</t>
        </is>
      </c>
      <c r="H36" t="n">
        <v>1</v>
      </c>
      <c r="I36" t="inlineStr">
        <is>
          <t>ДРБ/ДУП/ФД</t>
        </is>
      </c>
      <c r="J36" t="inlineStr">
        <is>
          <t>Григорий Манько</t>
        </is>
      </c>
    </row>
    <row r="37">
      <c r="B37" t="inlineStr">
        <is>
          <t>Стоимость монтажных работ и услуг для запуска проекта</t>
        </is>
      </c>
      <c r="C37" t="inlineStr">
        <is>
          <t>Логистика</t>
        </is>
      </c>
      <c r="D37" t="inlineStr">
        <is>
          <t>CAPEX</t>
        </is>
      </c>
      <c r="E37" t="inlineStr">
        <is>
          <t>услуга</t>
        </is>
      </c>
      <c r="F37" t="n">
        <v>1200000</v>
      </c>
      <c r="G37" t="inlineStr">
        <is>
          <t>Никто (автоматом калькулятор Манько Г.)</t>
        </is>
      </c>
      <c r="H37" t="n">
        <v>1</v>
      </c>
      <c r="I37" t="inlineStr">
        <is>
          <t>ДРБ/ДУП/ФД</t>
        </is>
      </c>
      <c r="J37" t="inlineStr">
        <is>
          <t>Григорий Манько</t>
        </is>
      </c>
    </row>
    <row r="38">
      <c r="B38" t="inlineStr">
        <is>
          <t>Стоимость монтажных работ и услуг для запуска проекта</t>
        </is>
      </c>
      <c r="C38" t="inlineStr">
        <is>
          <t>Независимая оценка</t>
        </is>
      </c>
      <c r="D38" t="inlineStr">
        <is>
          <t>CAPEX</t>
        </is>
      </c>
      <c r="E38" t="inlineStr">
        <is>
          <t>услуга</t>
        </is>
      </c>
      <c r="F38" t="n">
        <v>1200000</v>
      </c>
      <c r="G38" t="inlineStr">
        <is>
          <t>Никто (автоматом калькулятор Манько Г.)</t>
        </is>
      </c>
      <c r="H38" t="n">
        <v>1</v>
      </c>
      <c r="I38" t="inlineStr">
        <is>
          <t>ДРБ/ДУП/ФД</t>
        </is>
      </c>
      <c r="J38" t="inlineStr">
        <is>
          <t>Григорий Манько</t>
        </is>
      </c>
    </row>
    <row r="39">
      <c r="B39" t="inlineStr">
        <is>
          <t>Оснащение рабочих мест Ситуационного центра</t>
        </is>
      </c>
      <c r="C39" t="inlineStr">
        <is>
          <t>Оснащение оборудованием ситуационного центра</t>
        </is>
      </c>
      <c r="D39" t="inlineStr">
        <is>
          <t>CAPEX</t>
        </is>
      </c>
      <c r="L39" t="inlineStr">
        <is>
          <t>4. Шу_ФЭМ.xlsx::3. Инвест; Прил_ФЭМ_Алм_обл_расширение_тарифы_для_3_ПК_19_03_2025_1.xlsx::3. Инвест; ФЭМ ДС №2 Алмобл 26.02 .xlsx::3. Инвест; ФЭМ №1 (Павлодар).xlsx::3. Инвест; ФЭМ №2 (Павлодар).xlsx::3. Инвест</t>
        </is>
      </c>
      <c r="M39" t="n">
        <v>9</v>
      </c>
    </row>
    <row r="40">
      <c r="B40" t="inlineStr">
        <is>
          <t>Инвест</t>
        </is>
      </c>
      <c r="C40" t="inlineStr">
        <is>
          <t>Метеостанция: PM 2.5, PM10, ветер, температура, осадки</t>
        </is>
      </c>
      <c r="D40" t="inlineStr">
        <is>
          <t>CAPEX</t>
        </is>
      </c>
      <c r="L40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40" t="n">
        <v>7</v>
      </c>
    </row>
    <row r="41">
      <c r="B41" t="inlineStr">
        <is>
          <t>Инвест</t>
        </is>
      </c>
      <c r="C41" t="inlineStr">
        <is>
          <t>Планшет, принтер, ПО</t>
        </is>
      </c>
      <c r="D41" t="inlineStr">
        <is>
          <t>CAPEX</t>
        </is>
      </c>
      <c r="L41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41" t="n">
        <v>7</v>
      </c>
    </row>
    <row r="42">
      <c r="B42" t="inlineStr">
        <is>
          <t>Стоимость монтажных работ и услуг для запуска проекта</t>
        </is>
      </c>
      <c r="C42" t="inlineStr">
        <is>
          <t>Затраты на оборудование для интеграции на 1 существующую камеру</t>
        </is>
      </c>
      <c r="D42" t="inlineStr">
        <is>
          <t>CAPEX</t>
        </is>
      </c>
      <c r="L42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42" t="n">
        <v>6</v>
      </c>
    </row>
    <row r="43">
      <c r="B43" t="inlineStr">
        <is>
          <t>Аппаратно-программные комплексы "Сергек"</t>
        </is>
      </c>
      <c r="C43" t="inlineStr">
        <is>
          <t>АПК "Сергек.Линейный"</t>
        </is>
      </c>
      <c r="D43" t="inlineStr">
        <is>
          <t>CAPEX</t>
        </is>
      </c>
      <c r="L43" t="inlineStr">
        <is>
          <t>2_ФЭМ_Костанай_3,5млрд_v3_в_коротком_виде2.xlsx::4.CAPEX; 2_ФЭМ_Костанай_3,5млрд_v3_в_коротком_виде2.xlsx::7. Расчет экспл.расх; ФЭМ Костанай.xlsx::7. Расчет экспл.расх</t>
        </is>
      </c>
      <c r="M43" t="n">
        <v>5</v>
      </c>
    </row>
    <row r="44">
      <c r="B44" t="inlineStr">
        <is>
          <t>Аппаратно-программные комплексы "Сергек"</t>
        </is>
      </c>
      <c r="C44" t="inlineStr">
        <is>
          <t>АПК "Сергек.Перекресток"</t>
        </is>
      </c>
      <c r="D44" t="inlineStr">
        <is>
          <t>CAPEX</t>
        </is>
      </c>
      <c r="L44" t="inlineStr">
        <is>
          <t>2_ФЭМ_Костанай_3,5млрд_v3_в_коротком_виде2.xlsx::4.CAPEX; 2_ФЭМ_Костанай_3,5млрд_v3_в_коротком_виде2.xlsx::7. Расчет экспл.расх; ФЭМ Костанай.xlsx::7. Расчет экспл.расх</t>
        </is>
      </c>
      <c r="M44" t="n">
        <v>5</v>
      </c>
    </row>
    <row r="45">
      <c r="B45" t="inlineStr">
        <is>
          <t>Стоимость монтажных работ и услуг для запуска проекта</t>
        </is>
      </c>
      <c r="C45" t="inlineStr">
        <is>
          <t>монтаж оборудования для интеграции</t>
        </is>
      </c>
      <c r="D45" t="inlineStr">
        <is>
          <t>CAPEX</t>
        </is>
      </c>
      <c r="L45" t="inlineStr">
        <is>
          <t>ФЭМ ИСХОДНАЯ.xlsx::Инвест; ФЭМ ИТОГ до ноября24.xlsx::Инвест; ФЭМ_16_07_приложение_к_доп_согл.xlsx::Инвест; ФЭМ_Астана (4).xlsx::Инвест; ФЭМ_Атырау.xlsx::Инвест</t>
        </is>
      </c>
      <c r="M45" t="n">
        <v>5</v>
      </c>
    </row>
    <row r="46">
      <c r="B46" t="inlineStr">
        <is>
          <t>Оснащение рабочих мест Ситуационного центра</t>
        </is>
      </c>
      <c r="C46" t="inlineStr">
        <is>
          <t>Мобильное рабочее место + лицензия MDM</t>
        </is>
      </c>
      <c r="D46" t="inlineStr">
        <is>
          <t>CAPEX</t>
        </is>
      </c>
      <c r="L46" t="inlineStr">
        <is>
          <t>4. Шу_ФЭМ.xlsx::3. Инвест; ФЭМ_проекта_Жетысу_final.xlsx::3. Инвест; ФЭМ_проекта_Кульсары_Расширение_новый_состав_1_8.xlsx::3. Инвест; ФЭМ_проекта_Курмангазы v.8.xlsx::3. Инвест</t>
        </is>
      </c>
      <c r="M46" t="n">
        <v>4</v>
      </c>
    </row>
    <row r="47">
      <c r="B47" t="inlineStr">
        <is>
          <t>Центр обработки и анализа данных</t>
        </is>
      </c>
      <c r="C47" t="inlineStr">
        <is>
          <t>Система серверов процессинга и аналитики, включая ПО</t>
        </is>
      </c>
      <c r="D47" t="inlineStr">
        <is>
          <t>CAPEX</t>
        </is>
      </c>
      <c r="L47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47" t="n">
        <v>4</v>
      </c>
    </row>
    <row r="48">
      <c r="B48" t="inlineStr">
        <is>
          <t>Центр обработки и анализа данных</t>
        </is>
      </c>
      <c r="C48" t="inlineStr">
        <is>
          <t>Система серверов хранения данных, включая ПО</t>
        </is>
      </c>
      <c r="D48" t="inlineStr">
        <is>
          <t>CAPEX</t>
        </is>
      </c>
      <c r="L48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48" t="n">
        <v>4</v>
      </c>
    </row>
    <row r="49">
      <c r="B49" t="inlineStr">
        <is>
          <t>Стоимость монтажных работ и услуг для запуска проекта</t>
        </is>
      </c>
      <c r="C49" t="inlineStr">
        <is>
          <t>монтаж оборудования линейных участков</t>
        </is>
      </c>
      <c r="D49" t="inlineStr">
        <is>
          <t>CAPEX</t>
        </is>
      </c>
      <c r="L49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49" t="n">
        <v>4</v>
      </c>
    </row>
    <row r="50">
      <c r="B50" t="inlineStr">
        <is>
          <t>Стоимость монтажных работ и услуг для запуска проекта</t>
        </is>
      </c>
      <c r="C50" t="inlineStr">
        <is>
          <t>монтаж оборудования перекрестков</t>
        </is>
      </c>
      <c r="D50" t="inlineStr">
        <is>
          <t>CAPEX</t>
        </is>
      </c>
      <c r="L50" t="inlineStr">
        <is>
          <t>ФЭМ ИСХОДНАЯ.xlsx::Инвест; ФЭМ ИТОГ до ноября24.xlsx::Инвест; ФЭМ_16_07_приложение_к_доп_согл.xlsx::Инвест; ФЭМ_Астана (4).xlsx::Инвест</t>
        </is>
      </c>
      <c r="M50" t="n">
        <v>4</v>
      </c>
    </row>
    <row r="51">
      <c r="B51" t="inlineStr">
        <is>
          <t>4.CAPEX</t>
        </is>
      </c>
      <c r="C51" t="inlineStr">
        <is>
          <t>Инструменты и средства индивидуальной защиты</t>
        </is>
      </c>
      <c r="D51" t="inlineStr">
        <is>
          <t>CAPEX</t>
        </is>
      </c>
      <c r="L51" t="inlineStr">
        <is>
          <t>2_ФЭМ_Костанай_3,5млрд_v3_в_коротком_виде2.xlsx::4.CAPEX; ФЭМ №1 (Павлодар).xlsx::3. Инвест; ФЭМ №2 (Павлодар).xlsx::3. Инвест</t>
        </is>
      </c>
      <c r="M51" t="n">
        <v>3</v>
      </c>
    </row>
    <row r="52">
      <c r="B52" t="inlineStr">
        <is>
          <t>Аппаратно-программные комплексы "Сергек"</t>
        </is>
      </c>
      <c r="C52" t="inlineStr">
        <is>
          <t>Аппаратно-программный комплекс на линейном участке</t>
        </is>
      </c>
      <c r="D52" t="inlineStr">
        <is>
          <t>CAPEX</t>
        </is>
      </c>
      <c r="L52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52" t="n">
        <v>3</v>
      </c>
    </row>
    <row r="53">
      <c r="B53" t="inlineStr">
        <is>
          <t>Аппаратно-программные комплексы "Сергек"</t>
        </is>
      </c>
      <c r="C53" t="inlineStr">
        <is>
          <t>Аппаратно-программный комплекс на перекрестке</t>
        </is>
      </c>
      <c r="D53" t="inlineStr">
        <is>
          <t>CAPEX</t>
        </is>
      </c>
      <c r="L53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53" t="n">
        <v>3</v>
      </c>
    </row>
    <row r="54">
      <c r="B54" t="inlineStr">
        <is>
          <t>Аппаратно-программные комплексы "Сергек"</t>
        </is>
      </c>
      <c r="C54" t="inlineStr">
        <is>
          <t>Мобильное рабочее место</t>
        </is>
      </c>
      <c r="D54" t="inlineStr">
        <is>
          <t>CAPEX</t>
        </is>
      </c>
      <c r="L54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54" t="n">
        <v>3</v>
      </c>
    </row>
    <row r="55">
      <c r="B55" t="inlineStr">
        <is>
          <t>Инструменты и средства индивидуальной защиты</t>
        </is>
      </c>
      <c r="C55" t="inlineStr">
        <is>
          <t>Мобильный интеллектуальный АПК</t>
        </is>
      </c>
      <c r="D55" t="inlineStr">
        <is>
          <t>CAPEX</t>
        </is>
      </c>
      <c r="L55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55" t="n">
        <v>3</v>
      </c>
    </row>
    <row r="56">
      <c r="B56" t="inlineStr">
        <is>
          <t>Инструменты и средства индивидуальной защиты</t>
        </is>
      </c>
      <c r="C56" t="inlineStr">
        <is>
          <t>Транспортный двойник города</t>
        </is>
      </c>
      <c r="D56" t="inlineStr">
        <is>
          <t>CAPEX</t>
        </is>
      </c>
      <c r="L56" t="inlineStr">
        <is>
          <t>Прил_ФЭМ_Алм_обл_расширение_тарифы_для_3_ПК_19_03_2025_1.xlsx::3. Инвест; ФЭМ ДС №2 Алмобл 26.02 .xlsx::3. Инвест; ФЭМ_ДС_09_06_2025_для_нового_состава_2 (2).xlsx::3. Инвест</t>
        </is>
      </c>
      <c r="M56" t="n">
        <v>3</v>
      </c>
    </row>
    <row r="57">
      <c r="B57" t="inlineStr">
        <is>
          <t>Центр обработки и анализа данных</t>
        </is>
      </c>
      <c r="C57" t="inlineStr">
        <is>
          <t>Сервера хранения данных, 1 ПТб</t>
        </is>
      </c>
      <c r="D57" t="inlineStr">
        <is>
          <t>CAPEX</t>
        </is>
      </c>
      <c r="L57" t="inlineStr">
        <is>
          <t>ФЭМ_Атырау.xlsx::Инвест</t>
        </is>
      </c>
      <c r="M57" t="n">
        <v>3</v>
      </c>
    </row>
    <row r="58">
      <c r="B58" t="inlineStr">
        <is>
          <t>Инвест</t>
        </is>
      </c>
      <c r="C58" t="inlineStr">
        <is>
          <t>Расходные материалы на подключение к сети</t>
        </is>
      </c>
      <c r="D58" t="inlineStr">
        <is>
          <t>CAPEX</t>
        </is>
      </c>
      <c r="L58" t="inlineStr">
        <is>
          <t>ФЭМ_Атырау.xlsx::Инвест</t>
        </is>
      </c>
      <c r="M58" t="n">
        <v>3</v>
      </c>
    </row>
    <row r="59">
      <c r="B59" t="inlineStr">
        <is>
          <t>Аппаратно-программные комплексы "Сергек"</t>
        </is>
      </c>
      <c r="C59" t="inlineStr">
        <is>
          <t>Аппаратно-программный комплек "Сергек. Патруль BOX"</t>
        </is>
      </c>
      <c r="D59" t="inlineStr">
        <is>
          <t>CAPEX</t>
        </is>
      </c>
      <c r="L59" t="inlineStr">
        <is>
          <t>ФЭМ_проекта_Жетысу_final.xlsx::3. Инвест; ФЭМ_проекта_Кульсары_Расширение_новый_состав_1_8.xlsx::3. Инвест; ФЭМ_проекта_Курмангазы v.8.xlsx::3. Инвест</t>
        </is>
      </c>
      <c r="M59" t="n">
        <v>3</v>
      </c>
    </row>
    <row r="60">
      <c r="B60" t="inlineStr">
        <is>
          <t>Стоимость монтажных работ и услуг для запуска проекта</t>
        </is>
      </c>
      <c r="C60" t="inlineStr">
        <is>
          <t>Монтаж АПК патруль</t>
        </is>
      </c>
      <c r="D60" t="inlineStr">
        <is>
          <t>CAPEX</t>
        </is>
      </c>
      <c r="L60" t="inlineStr">
        <is>
          <t>ФЭМ_проекта_Жетысу_final.xlsx::3. Инвест; ФЭМ_проекта_Кульсары_Расширение_новый_состав_1_8.xlsx::3. Инвест; ФЭМ_проекта_Курмангазы v.8.xlsx::3. Инвест</t>
        </is>
      </c>
      <c r="M60" t="n">
        <v>3</v>
      </c>
    </row>
    <row r="61">
      <c r="B61" t="inlineStr">
        <is>
          <t>Аппаратно-программные комплексы "Сергек"</t>
        </is>
      </c>
      <c r="C61" t="inlineStr">
        <is>
          <t>Счетчики АСКУЭ для АПК "Сергек"</t>
        </is>
      </c>
      <c r="D61" t="inlineStr">
        <is>
          <t>CAPEX</t>
        </is>
      </c>
      <c r="L61" t="inlineStr">
        <is>
          <t>2_ФЭМ_Костанай_3,5млрд_v3_в_коротком_виде2.xlsx::4.CAPEX; ФЭМ Костанай.xlsx::4.CAPEX</t>
        </is>
      </c>
      <c r="M61" t="n">
        <v>2</v>
      </c>
    </row>
    <row r="62">
      <c r="B62" t="inlineStr">
        <is>
          <t>4.CAPEX</t>
        </is>
      </c>
      <c r="C62" t="inlineStr">
        <is>
          <t>Универсальный шлюз безопасности (NGFW)</t>
        </is>
      </c>
      <c r="D62" t="inlineStr">
        <is>
          <t>CAPEX</t>
        </is>
      </c>
      <c r="L62" t="inlineStr">
        <is>
          <t>2_ФЭМ_Костанай_3,5млрд_v3_в_коротком_виде2.xlsx::4.CAPEX; ФЭМ Костанай.xlsx::4.CAPEX</t>
        </is>
      </c>
      <c r="M62" t="n">
        <v>2</v>
      </c>
    </row>
    <row r="63">
      <c r="B63" t="inlineStr">
        <is>
          <t>Стоимость монтажных работ и услуг для запуска проекта</t>
        </is>
      </c>
      <c r="C63" t="inlineStr">
        <is>
          <t>Монтаж АПК "Сергек.Линейный"</t>
        </is>
      </c>
      <c r="D63" t="inlineStr">
        <is>
          <t>CAPEX</t>
        </is>
      </c>
      <c r="L63" t="inlineStr">
        <is>
          <t>2_ФЭМ_Костанай_3,5млрд_v3_в_коротком_виде2.xlsx::4.CAPEX; ФЭМ Костанай.xlsx::4.CAPEX</t>
        </is>
      </c>
      <c r="M63" t="n">
        <v>2</v>
      </c>
    </row>
    <row r="64">
      <c r="B64" t="inlineStr">
        <is>
          <t>Стоимость монтажных работ и услуг для запуска проекта</t>
        </is>
      </c>
      <c r="C64" t="inlineStr">
        <is>
          <t>Монтаж АПК "Сергек.Перекресток"</t>
        </is>
      </c>
      <c r="D64" t="inlineStr">
        <is>
          <t>CAPEX</t>
        </is>
      </c>
      <c r="L64" t="inlineStr">
        <is>
          <t>2_ФЭМ_Костанай_3,5млрд_v3_в_коротком_виде2.xlsx::4.CAPEX; ФЭМ Костанай.xlsx::4.CAPEX</t>
        </is>
      </c>
      <c r="M64" t="n">
        <v>2</v>
      </c>
    </row>
    <row r="65">
      <c r="B65" t="inlineStr">
        <is>
          <t>Аппаратно-программные комплексы "Сергек"</t>
        </is>
      </c>
      <c r="C65" t="inlineStr">
        <is>
          <t>Подключение каналов связи (АПК "Сергек")</t>
        </is>
      </c>
      <c r="D65" t="inlineStr">
        <is>
          <t>CAPEX</t>
        </is>
      </c>
      <c r="L65" t="inlineStr">
        <is>
          <t>2_ФЭМ_Костанай_3,5млрд_v3_в_коротком_виде2.xlsx::4.CAPEX; ФЭМ Костанай.xlsx::4.CAPEX</t>
        </is>
      </c>
      <c r="M65" t="n">
        <v>2</v>
      </c>
    </row>
    <row r="66">
      <c r="B66" t="inlineStr">
        <is>
          <t>Аппаратно-программные комплексы "Сергек"</t>
        </is>
      </c>
      <c r="C66" t="inlineStr">
        <is>
          <t>Поверка (АПК "Сергек")</t>
        </is>
      </c>
      <c r="D66" t="inlineStr">
        <is>
          <t>CAPEX</t>
        </is>
      </c>
      <c r="L66" t="inlineStr">
        <is>
          <t>2_ФЭМ_Костанай_3,5млрд_v3_в_коротком_виде2.xlsx::4.CAPEX; ФЭМ Костанай.xlsx::4.CAPEX</t>
        </is>
      </c>
      <c r="M66" t="n">
        <v>2</v>
      </c>
    </row>
    <row r="67">
      <c r="B67" t="inlineStr">
        <is>
          <t>Для CAPEX</t>
        </is>
      </c>
      <c r="C67" t="inlineStr">
        <is>
          <t>Зарядное устройство С 4/36-90 230V box</t>
        </is>
      </c>
      <c r="D67" t="inlineStr">
        <is>
          <t>CAPEX</t>
        </is>
      </c>
      <c r="L67" t="inlineStr">
        <is>
          <t>2_ФЭМ_Костанай_3,5млрд_v3_в_коротком_виде2.xlsx::Для CAPEX; ФЭМ Костанай.xlsx::Для CAPEX</t>
        </is>
      </c>
      <c r="M67" t="n">
        <v>2</v>
      </c>
    </row>
    <row r="68">
      <c r="B68" t="inlineStr">
        <is>
          <t>Центр обработки и анализа данных</t>
        </is>
      </c>
      <c r="C68" t="inlineStr">
        <is>
          <t>Резервный сервер</t>
        </is>
      </c>
      <c r="D68" t="inlineStr">
        <is>
          <t>CAPEX</t>
        </is>
      </c>
      <c r="L68" t="inlineStr">
        <is>
          <t>4. Шу_ФЭМ.xlsx::3. Инвест; ФЭМ_проекта_Кульсары_Расширение_новый_состав_1_8.xlsx::3. Инвест</t>
        </is>
      </c>
      <c r="M68" t="n">
        <v>2</v>
      </c>
    </row>
    <row r="69">
      <c r="B69" t="inlineStr">
        <is>
          <t>Аппаратно-программные комплексы "Сергек"</t>
        </is>
      </c>
      <c r="C69" t="inlineStr">
        <is>
          <t>Мобильное рабочее место "Сергек"</t>
        </is>
      </c>
      <c r="D69" t="inlineStr">
        <is>
          <t>CAPEX</t>
        </is>
      </c>
      <c r="L69" t="inlineStr">
        <is>
          <t>ФЭМ №1 (Павлодар).xlsx::3. Инвест; ФЭМ №2 (Павлодар).xlsx::3. Инвест</t>
        </is>
      </c>
      <c r="M69" t="n">
        <v>2</v>
      </c>
    </row>
    <row r="70">
      <c r="B70" t="inlineStr">
        <is>
          <t>Инвест</t>
        </is>
      </c>
      <c r="C70" t="inlineStr">
        <is>
          <t>Видеостена под ключ</t>
        </is>
      </c>
      <c r="D70" t="inlineStr">
        <is>
          <t>CAPEX</t>
        </is>
      </c>
      <c r="L70" t="inlineStr">
        <is>
          <t>ФЭМ_Атырау.xlsx::Инвест</t>
        </is>
      </c>
      <c r="M70" t="n">
        <v>2</v>
      </c>
    </row>
    <row r="71">
      <c r="B71" t="inlineStr">
        <is>
          <t>Аппаратно-программные комплексы "Сергек"</t>
        </is>
      </c>
      <c r="C71" t="inlineStr">
        <is>
          <t>Аппаратно-программный комплекс "Сергек. Трасса" v4.0</t>
        </is>
      </c>
      <c r="D71" t="inlineStr">
        <is>
          <t>CAPEX</t>
        </is>
      </c>
      <c r="L71" t="inlineStr">
        <is>
          <t>ФЭМ_проекта_Кульсары_Расширение_новый_состав_1_8.xlsx::3. Инвест; ФЭМ_проекта_Курмангазы v.8.xlsx::3. Инвест</t>
        </is>
      </c>
      <c r="M71" t="n">
        <v>2</v>
      </c>
    </row>
    <row r="72">
      <c r="B72" t="inlineStr">
        <is>
          <t>4.CAPEX</t>
        </is>
      </c>
      <c r="C72" t="inlineStr">
        <is>
          <t>Видеостена (13500х6500), под ключ</t>
        </is>
      </c>
      <c r="D72" t="inlineStr">
        <is>
          <t>CAPEX</t>
        </is>
      </c>
      <c r="L72" t="inlineStr">
        <is>
          <t>2_ФЭМ_Костанай_3,5млрд_v3_в_коротком_виде2.xlsx::4.CAPEX</t>
        </is>
      </c>
      <c r="M72" t="n">
        <v>1</v>
      </c>
    </row>
    <row r="73">
      <c r="B73" t="inlineStr">
        <is>
          <t>Аппаратно-программные комплексы "Сергек"</t>
        </is>
      </c>
      <c r="C73" t="inlineStr">
        <is>
          <t>Аппаратно-программный комплекс "Сергек. Патруль"</t>
        </is>
      </c>
      <c r="D73" t="inlineStr">
        <is>
          <t>CAPEX</t>
        </is>
      </c>
      <c r="L73" t="inlineStr">
        <is>
          <t>4. Шу_ФЭМ.xlsx::3. Инвест</t>
        </is>
      </c>
      <c r="M73" t="n">
        <v>1</v>
      </c>
    </row>
    <row r="74">
      <c r="B74" t="inlineStr">
        <is>
          <t>Аппаратно-программные комплексы "Сергек"</t>
        </is>
      </c>
      <c r="C74" t="inlineStr">
        <is>
          <t>Аппаратно-программный комплекс "Сергек. Трасса"</t>
        </is>
      </c>
      <c r="D74" t="inlineStr">
        <is>
          <t>CAPEX</t>
        </is>
      </c>
      <c r="L74" t="inlineStr">
        <is>
          <t>4. Шу_ФЭМ.xlsx::3. Инвест</t>
        </is>
      </c>
      <c r="M74" t="n">
        <v>1</v>
      </c>
    </row>
    <row r="75">
      <c r="B75" t="inlineStr">
        <is>
          <t>Аппаратно-программные комплексы "Сергек"</t>
        </is>
      </c>
      <c r="C75" t="inlineStr">
        <is>
          <t>АПК "Сергек" на линейных участках</t>
        </is>
      </c>
      <c r="D75" t="inlineStr">
        <is>
          <t>CAPEX</t>
        </is>
      </c>
      <c r="L75" t="inlineStr">
        <is>
          <t>ФЭМ Костанай.xlsx::4.CAPEX</t>
        </is>
      </c>
      <c r="M75" t="n">
        <v>1</v>
      </c>
    </row>
    <row r="76">
      <c r="B76" t="inlineStr">
        <is>
          <t>Аппаратно-программные комплексы "Сергек"</t>
        </is>
      </c>
      <c r="C76" t="inlineStr">
        <is>
          <t>АПК "Сергек" на перекрестках</t>
        </is>
      </c>
      <c r="D76" t="inlineStr">
        <is>
          <t>CAPEX</t>
        </is>
      </c>
      <c r="L76" t="inlineStr">
        <is>
          <t>ФЭМ Костанай.xlsx::4.CAPEX</t>
        </is>
      </c>
      <c r="M76" t="n">
        <v>1</v>
      </c>
    </row>
    <row r="77">
      <c r="B77" t="inlineStr">
        <is>
          <t>Аппаратно-программные комплексы "Сергек"</t>
        </is>
      </c>
      <c r="C77" t="inlineStr">
        <is>
          <t>Аппаратно-программный комплекс "Сергек. Трассы"</t>
        </is>
      </c>
      <c r="D77" t="inlineStr">
        <is>
          <t>CAPEX</t>
        </is>
      </c>
      <c r="L77" t="inlineStr">
        <is>
          <t>ФЭМ №2 (Павлодар).xlsx::3. Инвест</t>
        </is>
      </c>
      <c r="M77" t="n">
        <v>1</v>
      </c>
    </row>
    <row r="78">
      <c r="B78" t="inlineStr">
        <is>
          <t>Аппаратно-программные комплексы "Сергек"</t>
        </is>
      </c>
      <c r="C78" t="inlineStr">
        <is>
          <t>Аппаратно-программный комплекс "Сергек. Линейный участок" v4.0 на трассах</t>
        </is>
      </c>
      <c r="D78" t="inlineStr">
        <is>
          <t>CAPEX</t>
        </is>
      </c>
      <c r="L78" t="inlineStr">
        <is>
          <t>ФЭМ_проекта_Жетысу_final.xlsx::3. Инвест</t>
        </is>
      </c>
      <c r="M78" t="n">
        <v>1</v>
      </c>
    </row>
    <row r="79">
      <c r="B79" t="inlineStr">
        <is>
          <t>Аппаратно-программные комплексы "Сергек"</t>
        </is>
      </c>
      <c r="C79" t="inlineStr">
        <is>
          <t>Аппаратно-программный комплекс "Сергек. Lite"</t>
        </is>
      </c>
      <c r="D79" t="inlineStr">
        <is>
          <t>CAPEX</t>
        </is>
      </c>
      <c r="L79" t="inlineStr">
        <is>
          <t>ФЭМ_проекта_Курмангазы v.8.xlsx::3. Инвест</t>
        </is>
      </c>
      <c r="M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67"/>
  <sheetViews>
    <sheetView workbookViewId="0">
      <selection activeCell="A1" sqref="A1"/>
    </sheetView>
  </sheetViews>
  <sheetFormatPr baseColWidth="8" defaultRowHeight="15"/>
  <sheetData>
    <row r="2">
      <c r="B2" t="inlineStr">
        <is>
          <t>Статья затрат (1-уровень)</t>
        </is>
      </c>
      <c r="C2" t="inlineStr">
        <is>
          <t>Наименование (Артефакт)</t>
        </is>
      </c>
      <c r="D2" t="inlineStr">
        <is>
          <t>CAPEX/OPEX</t>
        </is>
      </c>
      <c r="E2" t="inlineStr">
        <is>
          <t>Ед. измерения</t>
        </is>
      </c>
      <c r="F2" t="inlineStr">
        <is>
          <t>Цена за ед.с НДС, тенге</t>
        </is>
      </c>
      <c r="G2" t="inlineStr">
        <is>
          <t>Поставщик количества</t>
        </is>
      </c>
      <c r="H2" t="inlineStr">
        <is>
          <t>Этап</t>
        </is>
      </c>
      <c r="I2" t="inlineStr">
        <is>
          <t>Поставщик цены</t>
        </is>
      </c>
      <c r="J2" t="inlineStr">
        <is>
          <t>Держатель калькулятора</t>
        </is>
      </c>
      <c r="K2" t="inlineStr">
        <is>
          <t>Поставщик характеристик</t>
        </is>
      </c>
      <c r="L2" t="inlineStr">
        <is>
          <t>Источник (исторические ФЭМ)</t>
        </is>
      </c>
      <c r="M2" t="inlineStr">
        <is>
          <t>Встречаемость в истор. ФЭМ</t>
        </is>
      </c>
    </row>
    <row r="3">
      <c r="B3" t="inlineStr">
        <is>
          <t>Аренда каналов связи</t>
        </is>
      </c>
      <c r="C3" t="inlineStr">
        <is>
          <t>Канал передачи данных - Линейные</t>
        </is>
      </c>
      <c r="D3" t="inlineStr">
        <is>
          <t>OPEX</t>
        </is>
      </c>
      <c r="E3" t="n">
        <v>40</v>
      </c>
      <c r="F3" t="n">
        <v>1000</v>
      </c>
      <c r="G3" t="inlineStr">
        <is>
          <t>Никто (автоматом калькулятор Манько Г.)</t>
        </is>
      </c>
      <c r="I3" t="inlineStr">
        <is>
          <t>Григорий Манько</t>
        </is>
      </c>
      <c r="J3" t="inlineStr">
        <is>
          <t>Григорий Манько</t>
        </is>
      </c>
      <c r="K3" t="inlineStr">
        <is>
          <t>Никто (автоматом калькулятор Манько Г.)</t>
        </is>
      </c>
    </row>
    <row r="4">
      <c r="B4" t="inlineStr">
        <is>
          <t>Аренда каналов связи</t>
        </is>
      </c>
      <c r="C4" t="inlineStr">
        <is>
          <t>Канал передачи данных - Перекрестки</t>
        </is>
      </c>
      <c r="D4" t="inlineStr">
        <is>
          <t>OPEX</t>
        </is>
      </c>
      <c r="E4" t="n">
        <v>70</v>
      </c>
      <c r="F4" t="n">
        <v>1000</v>
      </c>
      <c r="G4" t="inlineStr">
        <is>
          <t>Никто (автоматом калькулятор Манько Г.)</t>
        </is>
      </c>
      <c r="I4" t="inlineStr">
        <is>
          <t>Григорий Манько</t>
        </is>
      </c>
      <c r="J4" t="inlineStr">
        <is>
          <t>Григорий Манько</t>
        </is>
      </c>
      <c r="K4" t="inlineStr">
        <is>
          <t>Никто (автоматом калькулятор Манько Г.)</t>
        </is>
      </c>
    </row>
    <row r="5">
      <c r="B5" t="inlineStr">
        <is>
          <t>Аренда каналов связи</t>
        </is>
      </c>
      <c r="C5" t="inlineStr">
        <is>
          <t>Канал передачи данных - Трассы</t>
        </is>
      </c>
      <c r="D5" t="inlineStr">
        <is>
          <t>OPEX</t>
        </is>
      </c>
      <c r="E5" t="n">
        <v>40</v>
      </c>
      <c r="F5" t="n">
        <v>1000</v>
      </c>
      <c r="G5" t="inlineStr">
        <is>
          <t>Никто (автоматом калькулятор Манько Г.)</t>
        </is>
      </c>
      <c r="I5" t="inlineStr">
        <is>
          <t>Григорий Манько</t>
        </is>
      </c>
      <c r="J5" t="inlineStr">
        <is>
          <t>Григорий Манько</t>
        </is>
      </c>
      <c r="K5" t="inlineStr">
        <is>
          <t>Никто (автоматом калькулятор Манько Г.)</t>
        </is>
      </c>
    </row>
    <row r="6">
      <c r="B6" t="inlineStr">
        <is>
          <t>Аренда каналов связи</t>
        </is>
      </c>
      <c r="C6" t="inlineStr">
        <is>
          <t>Канал передачи данных - камеры ОВН</t>
        </is>
      </c>
      <c r="D6" t="inlineStr">
        <is>
          <t>OPEX</t>
        </is>
      </c>
      <c r="E6" t="n">
        <v>3</v>
      </c>
      <c r="F6" t="n">
        <v>1000</v>
      </c>
      <c r="G6" t="inlineStr">
        <is>
          <t>Никто (автоматом калькулятор Манько Г.)</t>
        </is>
      </c>
      <c r="I6" t="inlineStr">
        <is>
          <t>Григорий Манько</t>
        </is>
      </c>
      <c r="J6" t="inlineStr">
        <is>
          <t>Григорий Манько</t>
        </is>
      </c>
      <c r="K6" t="inlineStr">
        <is>
          <t>Никто (автоматом калькулятор Манько Г.)</t>
        </is>
      </c>
    </row>
    <row r="7">
      <c r="B7" t="inlineStr">
        <is>
          <t>Аренда каналов связи</t>
        </is>
      </c>
      <c r="C7" t="inlineStr">
        <is>
          <t>Канал передачи данных - интеграция</t>
        </is>
      </c>
      <c r="D7" t="inlineStr">
        <is>
          <t>OPEX</t>
        </is>
      </c>
      <c r="E7" t="n">
        <v>2</v>
      </c>
      <c r="F7" t="n">
        <v>1000</v>
      </c>
      <c r="G7" t="inlineStr">
        <is>
          <t>Никто (автоматом калькулятор Манько Г.)</t>
        </is>
      </c>
      <c r="I7" t="inlineStr">
        <is>
          <t>Григорий Манько</t>
        </is>
      </c>
      <c r="J7" t="inlineStr">
        <is>
          <t>Григорий Манько</t>
        </is>
      </c>
      <c r="K7" t="inlineStr">
        <is>
          <t>Никто (автоматом калькулятор Манько Г.)</t>
        </is>
      </c>
    </row>
    <row r="8">
      <c r="B8" t="inlineStr">
        <is>
          <t>Услуги сторонних организаций</t>
        </is>
      </c>
      <c r="C8" t="inlineStr">
        <is>
          <t>Техническое обслуживание серверов</t>
        </is>
      </c>
      <c r="D8" t="inlineStr">
        <is>
          <t>OPEX</t>
        </is>
      </c>
      <c r="E8" t="n">
        <v>1</v>
      </c>
      <c r="F8" t="n">
        <v>1787400</v>
      </c>
      <c r="G8" t="inlineStr">
        <is>
          <t>Исторические данные</t>
        </is>
      </c>
      <c r="I8" t="inlineStr">
        <is>
          <t>Исторические данные</t>
        </is>
      </c>
      <c r="J8" t="inlineStr">
        <is>
          <t>Неизвестно</t>
        </is>
      </c>
      <c r="K8" t="inlineStr">
        <is>
          <t>Исторические данные</t>
        </is>
      </c>
    </row>
    <row r="9">
      <c r="B9" t="inlineStr">
        <is>
          <t>Услуги сторонних организаций</t>
        </is>
      </c>
      <c r="C9" t="inlineStr">
        <is>
          <t>Техническое обслуживание ЦОД</t>
        </is>
      </c>
      <c r="D9" t="inlineStr">
        <is>
          <t>OPEX</t>
        </is>
      </c>
      <c r="E9" t="n">
        <v>1</v>
      </c>
      <c r="F9" t="n">
        <v>500000</v>
      </c>
      <c r="G9" t="inlineStr">
        <is>
          <t>Исторические данные</t>
        </is>
      </c>
      <c r="I9" t="inlineStr">
        <is>
          <t>Исторические данные</t>
        </is>
      </c>
      <c r="J9" t="inlineStr">
        <is>
          <t>Неизвестно</t>
        </is>
      </c>
      <c r="K9" t="inlineStr">
        <is>
          <t>Исторические данные</t>
        </is>
      </c>
    </row>
    <row r="10">
      <c r="B10" t="inlineStr">
        <is>
          <t>Услуги сторонних организаций</t>
        </is>
      </c>
      <c r="C10" t="inlineStr">
        <is>
          <t>Интернет 50 мбит/с в офис</t>
        </is>
      </c>
      <c r="D10" t="inlineStr">
        <is>
          <t>OPEX</t>
        </is>
      </c>
      <c r="E10" t="n">
        <v>1</v>
      </c>
      <c r="F10" t="n">
        <v>148400</v>
      </c>
      <c r="G10" t="inlineStr">
        <is>
          <t>Исторические данные</t>
        </is>
      </c>
      <c r="I10" t="inlineStr">
        <is>
          <t>Исторические данные</t>
        </is>
      </c>
      <c r="J10" t="inlineStr">
        <is>
          <t>Неизвестно</t>
        </is>
      </c>
      <c r="K10" t="inlineStr">
        <is>
          <t>Исторические данные</t>
        </is>
      </c>
    </row>
    <row r="11">
      <c r="B11" t="inlineStr">
        <is>
          <t>Услуги сторонних организаций</t>
        </is>
      </c>
      <c r="C11" t="inlineStr">
        <is>
          <t>Интернет 100 мбит/с в ЦОД</t>
        </is>
      </c>
      <c r="D11" t="inlineStr">
        <is>
          <t>OPEX</t>
        </is>
      </c>
      <c r="E11" t="n">
        <v>1</v>
      </c>
      <c r="F11" t="n">
        <v>371000</v>
      </c>
      <c r="G11" t="inlineStr">
        <is>
          <t>Исторические данные</t>
        </is>
      </c>
      <c r="I11" t="inlineStr">
        <is>
          <t>Исторические данные</t>
        </is>
      </c>
      <c r="J11" t="inlineStr">
        <is>
          <t>Неизвестно</t>
        </is>
      </c>
      <c r="K11" t="inlineStr">
        <is>
          <t>Исторические данные</t>
        </is>
      </c>
    </row>
    <row r="12">
      <c r="B12" t="inlineStr">
        <is>
          <t>Услуги сторонних организаций</t>
        </is>
      </c>
      <c r="C12" t="inlineStr">
        <is>
          <t>Поддержка и обновление программного обеспечения</t>
        </is>
      </c>
      <c r="D12" t="inlineStr">
        <is>
          <t>OPEX</t>
        </is>
      </c>
      <c r="E12" t="n">
        <v>1</v>
      </c>
      <c r="F12" t="n">
        <v>7500000</v>
      </c>
      <c r="G12" t="inlineStr">
        <is>
          <t>Исторические данные</t>
        </is>
      </c>
      <c r="I12" t="inlineStr">
        <is>
          <t>Исторические данные</t>
        </is>
      </c>
      <c r="J12" t="inlineStr">
        <is>
          <t>Неизвестно</t>
        </is>
      </c>
      <c r="K12" t="inlineStr">
        <is>
          <t>Исторические данные</t>
        </is>
      </c>
    </row>
    <row r="13">
      <c r="B13" t="inlineStr">
        <is>
          <t>Услуги сторонних организаций</t>
        </is>
      </c>
      <c r="C13" t="inlineStr">
        <is>
          <t>Услуги VMS</t>
        </is>
      </c>
      <c r="D13" t="inlineStr">
        <is>
          <t>OPEX</t>
        </is>
      </c>
      <c r="E13" t="n">
        <v>1</v>
      </c>
      <c r="F13" t="n">
        <v>3500000</v>
      </c>
      <c r="G13" t="inlineStr">
        <is>
          <t>Исторические данные</t>
        </is>
      </c>
      <c r="I13" t="inlineStr">
        <is>
          <t>Исторические данные</t>
        </is>
      </c>
      <c r="J13" t="inlineStr">
        <is>
          <t>Неизвестно</t>
        </is>
      </c>
      <c r="K13" t="inlineStr">
        <is>
          <t>Исторические данные</t>
        </is>
      </c>
    </row>
    <row r="14">
      <c r="B14" t="inlineStr">
        <is>
          <t>Услуги сторонних организаций</t>
        </is>
      </c>
      <c r="C14" t="inlineStr">
        <is>
          <t>Информационная безопасность</t>
        </is>
      </c>
      <c r="D14" t="inlineStr">
        <is>
          <t>OPEX</t>
        </is>
      </c>
      <c r="E14" t="n">
        <v>1</v>
      </c>
      <c r="F14" t="n">
        <v>3700000</v>
      </c>
      <c r="G14" t="inlineStr">
        <is>
          <t>Исторические данные</t>
        </is>
      </c>
      <c r="I14" t="inlineStr">
        <is>
          <t>Исторические данные</t>
        </is>
      </c>
      <c r="J14" t="inlineStr">
        <is>
          <t>Неизвестно</t>
        </is>
      </c>
      <c r="K14" t="inlineStr">
        <is>
          <t>Исторические данные</t>
        </is>
      </c>
    </row>
    <row r="15">
      <c r="B15" t="inlineStr">
        <is>
          <t>Обслуживание АПК</t>
        </is>
      </c>
      <c r="C15" t="inlineStr">
        <is>
          <t>Обслуживание ЛУ</t>
        </is>
      </c>
      <c r="D15" t="inlineStr">
        <is>
          <t>OPEX</t>
        </is>
      </c>
      <c r="E15" t="n">
        <v>0</v>
      </c>
      <c r="F15" t="n">
        <v>36000</v>
      </c>
      <c r="G15" t="inlineStr">
        <is>
          <t>Никто (автоматом калькулятор Манько Г.)</t>
        </is>
      </c>
      <c r="I15" t="inlineStr">
        <is>
          <t>Никто (автоматом калькулятор Манько Г.)</t>
        </is>
      </c>
      <c r="J15" t="inlineStr">
        <is>
          <t>Незивестно</t>
        </is>
      </c>
      <c r="K15" t="inlineStr">
        <is>
          <t>Никто (автоматом калькулятор Манько Г.)</t>
        </is>
      </c>
    </row>
    <row r="16">
      <c r="B16" t="inlineStr">
        <is>
          <t>Обслуживание АПК</t>
        </is>
      </c>
      <c r="C16" t="inlineStr">
        <is>
          <t>Обслуживание П</t>
        </is>
      </c>
      <c r="D16" t="inlineStr">
        <is>
          <t>OPEX</t>
        </is>
      </c>
      <c r="E16" t="n">
        <v>0</v>
      </c>
      <c r="F16" t="n">
        <v>65000</v>
      </c>
      <c r="G16" t="inlineStr">
        <is>
          <t>Никто (автоматом калькулятор Манько Г.)</t>
        </is>
      </c>
      <c r="I16" t="inlineStr">
        <is>
          <t>Никто (автоматом калькулятор Манько Г.)</t>
        </is>
      </c>
      <c r="J16" t="inlineStr">
        <is>
          <t>Незивестно</t>
        </is>
      </c>
      <c r="K16" t="inlineStr">
        <is>
          <t>Никто (автоматом калькулятор Манько Г.)</t>
        </is>
      </c>
    </row>
    <row r="17">
      <c r="B17" t="inlineStr">
        <is>
          <t>Обслуживание АПК</t>
        </is>
      </c>
      <c r="C17" t="inlineStr">
        <is>
          <t>Обслуживание  АПК "Трассы"</t>
        </is>
      </c>
      <c r="D17" t="inlineStr">
        <is>
          <t>OPEX</t>
        </is>
      </c>
      <c r="E17" t="n">
        <v>500</v>
      </c>
      <c r="F17" t="n">
        <v>125000</v>
      </c>
      <c r="G17" t="inlineStr">
        <is>
          <t>Никто (автоматом калькулятор Манько Г.)</t>
        </is>
      </c>
      <c r="I17" t="inlineStr">
        <is>
          <t>Никто (автоматом калькулятор Манько Г.)</t>
        </is>
      </c>
      <c r="J17" t="inlineStr">
        <is>
          <t>Незивестно</t>
        </is>
      </c>
      <c r="K17" t="inlineStr">
        <is>
          <t>Никто (автоматом калькулятор Манько Г.)</t>
        </is>
      </c>
    </row>
    <row r="18">
      <c r="B18" t="inlineStr">
        <is>
          <t>Обслуживание АПК</t>
        </is>
      </c>
      <c r="C18" t="inlineStr">
        <is>
          <t>Обслуживание ОВН</t>
        </is>
      </c>
      <c r="D18" t="inlineStr">
        <is>
          <t>OPEX</t>
        </is>
      </c>
      <c r="E18" t="n">
        <v>7000</v>
      </c>
      <c r="F18" t="n">
        <v>6000</v>
      </c>
      <c r="G18" t="inlineStr">
        <is>
          <t>Никто (автоматом калькулятор Манько Г.)</t>
        </is>
      </c>
      <c r="I18" t="inlineStr">
        <is>
          <t>Никто (автоматом калькулятор Манько Г.)</t>
        </is>
      </c>
      <c r="J18" t="inlineStr">
        <is>
          <t>Незивестно</t>
        </is>
      </c>
      <c r="K18" t="inlineStr">
        <is>
          <t>Никто (автоматом калькулятор Манько Г.)</t>
        </is>
      </c>
    </row>
    <row r="19">
      <c r="B19" t="inlineStr">
        <is>
          <t>Обслуживание АПК</t>
        </is>
      </c>
      <c r="C19" t="inlineStr">
        <is>
          <t>Обслуживание  объекта интеграции</t>
        </is>
      </c>
      <c r="D19" t="inlineStr">
        <is>
          <t>OPEX</t>
        </is>
      </c>
      <c r="E19" t="n">
        <v>0</v>
      </c>
      <c r="F19" t="n">
        <v>3000</v>
      </c>
      <c r="G19" t="inlineStr">
        <is>
          <t>Никто (автоматом калькулятор Манько Г.)</t>
        </is>
      </c>
      <c r="I19" t="inlineStr">
        <is>
          <t>Никто (автоматом калькулятор Манько Г.)</t>
        </is>
      </c>
      <c r="J19" t="inlineStr">
        <is>
          <t>Незивестно</t>
        </is>
      </c>
      <c r="K19" t="inlineStr">
        <is>
          <t>Никто (автоматом калькулятор Манько Г.)</t>
        </is>
      </c>
    </row>
    <row r="20">
      <c r="B20" t="inlineStr">
        <is>
          <t>Расчет затрат на аренду помещений</t>
        </is>
      </c>
      <c r="C20" t="inlineStr">
        <is>
          <t>Аренда помещения</t>
        </is>
      </c>
      <c r="D20" t="inlineStr">
        <is>
          <t>OPEX</t>
        </is>
      </c>
      <c r="F20" t="n">
        <v>5000</v>
      </c>
      <c r="G20" t="inlineStr">
        <is>
          <t>Никто (автоматом калькулятор Манько Г.)</t>
        </is>
      </c>
      <c r="I20" t="inlineStr">
        <is>
          <t>Никто (автоматом калькулятор Манько Г.)</t>
        </is>
      </c>
      <c r="J20" t="inlineStr">
        <is>
          <t>Незивестно</t>
        </is>
      </c>
      <c r="K20" t="inlineStr">
        <is>
          <t>Никто (автоматом калькулятор Манько Г.)</t>
        </is>
      </c>
    </row>
    <row r="21">
      <c r="B21" t="inlineStr">
        <is>
          <t>Расчет затрат на аренду помещений</t>
        </is>
      </c>
      <c r="C21" t="inlineStr">
        <is>
          <t>Аренда помещения ЦОД</t>
        </is>
      </c>
      <c r="D21" t="inlineStr">
        <is>
          <t>OPEX</t>
        </is>
      </c>
      <c r="F21" t="n">
        <v>2000000</v>
      </c>
      <c r="G21" t="inlineStr">
        <is>
          <t>Никто (автоматом калькулятор Манько Г.)</t>
        </is>
      </c>
      <c r="I21" t="inlineStr">
        <is>
          <t>Никто (автоматом калькулятор Манько Г.)</t>
        </is>
      </c>
      <c r="J21" t="inlineStr">
        <is>
          <t>Незивестно</t>
        </is>
      </c>
      <c r="K21" t="inlineStr">
        <is>
          <t>Никто (автоматом калькулятор Манько Г.)</t>
        </is>
      </c>
    </row>
    <row r="22">
      <c r="B22" t="inlineStr">
        <is>
          <t>Расчет затрат на аренду помещений</t>
        </is>
      </c>
      <c r="C22" t="inlineStr">
        <is>
          <t>Аренда точек подключения</t>
        </is>
      </c>
      <c r="D22" t="inlineStr">
        <is>
          <t>OPEX</t>
        </is>
      </c>
      <c r="F22" t="n">
        <v>2000</v>
      </c>
      <c r="G22" t="inlineStr">
        <is>
          <t>Никто (автоматом калькулятор Манько Г.)</t>
        </is>
      </c>
      <c r="I22" t="inlineStr">
        <is>
          <t>Никто (автоматом калькулятор Манько Г.)</t>
        </is>
      </c>
      <c r="J22" t="inlineStr">
        <is>
          <t>Незивестно</t>
        </is>
      </c>
      <c r="K22" t="inlineStr">
        <is>
          <t>Никто (автоматом калькулятор Манько Г.)</t>
        </is>
      </c>
    </row>
    <row r="23">
      <c r="B23" t="inlineStr">
        <is>
          <t>Экономические предположения</t>
        </is>
      </c>
      <c r="C23" t="inlineStr">
        <is>
          <t>Стоимость электроэнергии, тенге/кВт*ч, с учетом НДС</t>
        </is>
      </c>
      <c r="D23" t="inlineStr">
        <is>
          <t>OPEX</t>
        </is>
      </c>
      <c r="E23" t="inlineStr">
        <is>
          <t>кВт*ч</t>
        </is>
      </c>
      <c r="F23" t="n">
        <v>22.3</v>
      </c>
      <c r="G23" t="inlineStr">
        <is>
          <t>Никто (автоматом калькулятор Манько Г.)</t>
        </is>
      </c>
      <c r="I23" t="inlineStr">
        <is>
          <t>Григорий Манько</t>
        </is>
      </c>
      <c r="J23" t="inlineStr">
        <is>
          <t>Григорий Манько</t>
        </is>
      </c>
      <c r="K23" t="inlineStr">
        <is>
          <t>Никто (автоматом калькулятор Манько Г.)</t>
        </is>
      </c>
    </row>
    <row r="24">
      <c r="B24" t="inlineStr">
        <is>
          <t>Экономические предположения</t>
        </is>
      </c>
      <c r="C24" t="inlineStr">
        <is>
          <t>Потребление энергии одной камерой, кВт</t>
        </is>
      </c>
      <c r="D24" t="inlineStr">
        <is>
          <t>OPEX</t>
        </is>
      </c>
      <c r="E24" t="inlineStr">
        <is>
          <t>кВт</t>
        </is>
      </c>
      <c r="F24" t="n">
        <v>0.04</v>
      </c>
      <c r="G24" t="inlineStr">
        <is>
          <t>Никто (автоматом калькулятор Манько Г.)</t>
        </is>
      </c>
      <c r="I24" t="inlineStr">
        <is>
          <t>Григорий Манько</t>
        </is>
      </c>
      <c r="J24" t="inlineStr">
        <is>
          <t>Григорий Манько</t>
        </is>
      </c>
      <c r="K24" t="inlineStr">
        <is>
          <t>Неизвестно</t>
        </is>
      </c>
    </row>
    <row r="25">
      <c r="B25" t="inlineStr">
        <is>
          <t>Экономические предположения</t>
        </is>
      </c>
      <c r="C25" t="inlineStr">
        <is>
          <t>Автовышка в тенге/час</t>
        </is>
      </c>
      <c r="D25" t="inlineStr">
        <is>
          <t>OPEX</t>
        </is>
      </c>
      <c r="E25" t="inlineStr">
        <is>
          <t>час</t>
        </is>
      </c>
      <c r="F25" t="n">
        <v>8500</v>
      </c>
      <c r="G25" t="inlineStr">
        <is>
          <t>Никто (автоматом калькулятор Манько Г.)</t>
        </is>
      </c>
      <c r="I25" t="inlineStr">
        <is>
          <t>Григорий Манько</t>
        </is>
      </c>
      <c r="J25" t="inlineStr">
        <is>
          <t>Григорий Манько</t>
        </is>
      </c>
      <c r="K25" t="inlineStr">
        <is>
          <t>Неизвестно</t>
        </is>
      </c>
    </row>
    <row r="26">
      <c r="B26" t="inlineStr">
        <is>
          <t>Экономические предположения</t>
        </is>
      </c>
      <c r="C26" t="inlineStr">
        <is>
          <t>Цена за 1 час инженера, тенге</t>
        </is>
      </c>
      <c r="D26" t="inlineStr">
        <is>
          <t>OPEX</t>
        </is>
      </c>
      <c r="E26" t="inlineStr">
        <is>
          <t>тенге</t>
        </is>
      </c>
      <c r="F26" t="n">
        <v>3100</v>
      </c>
      <c r="G26" t="inlineStr">
        <is>
          <t>Никто (автоматом калькулятор Манько Г.)</t>
        </is>
      </c>
      <c r="I26" t="inlineStr">
        <is>
          <t>Григорий Манько</t>
        </is>
      </c>
      <c r="J26" t="inlineStr">
        <is>
          <t>Григорий Манько</t>
        </is>
      </c>
      <c r="K26" t="inlineStr">
        <is>
          <t>Неизвестно</t>
        </is>
      </c>
    </row>
    <row r="27">
      <c r="B27" t="inlineStr">
        <is>
          <t>Экономические предположения</t>
        </is>
      </c>
      <c r="C27" t="inlineStr">
        <is>
          <t>Цена за 1 час монтажной бригады, тенге</t>
        </is>
      </c>
      <c r="D27" t="inlineStr">
        <is>
          <t>OPEX</t>
        </is>
      </c>
      <c r="E27" t="inlineStr">
        <is>
          <t>монтажной бригады</t>
        </is>
      </c>
      <c r="F27" t="n">
        <v>3820</v>
      </c>
      <c r="G27" t="inlineStr">
        <is>
          <t>Никто (автоматом калькулятор Манько Г.)</t>
        </is>
      </c>
      <c r="I27" t="inlineStr">
        <is>
          <t>Григорий Манько</t>
        </is>
      </c>
      <c r="J27" t="inlineStr">
        <is>
          <t>Григорий Манько</t>
        </is>
      </c>
      <c r="K27" t="inlineStr">
        <is>
          <t>Неизвестно</t>
        </is>
      </c>
    </row>
    <row r="28">
      <c r="B28" t="inlineStr">
        <is>
          <t>Экономические предположения</t>
        </is>
      </c>
      <c r="C28" t="inlineStr">
        <is>
          <t>Аренда помещения офиса за 1 кв.метр</t>
        </is>
      </c>
      <c r="D28" t="inlineStr">
        <is>
          <t>OPEX</t>
        </is>
      </c>
      <c r="E28" t="inlineStr">
        <is>
          <t>кв. метр</t>
        </is>
      </c>
      <c r="F28" t="n">
        <v>5000</v>
      </c>
      <c r="G28" t="inlineStr">
        <is>
          <t>Никто (автоматом калькулятор Манько Г.)</t>
        </is>
      </c>
      <c r="I28" t="inlineStr">
        <is>
          <t>Григорий Манько</t>
        </is>
      </c>
      <c r="J28" t="inlineStr">
        <is>
          <t>Григорий Манько</t>
        </is>
      </c>
      <c r="K28" t="inlineStr">
        <is>
          <t>Неизвестно</t>
        </is>
      </c>
    </row>
    <row r="29">
      <c r="B29" t="inlineStr">
        <is>
          <t>Экономические предположения</t>
        </is>
      </c>
      <c r="C29" t="inlineStr">
        <is>
          <t>Аренда площади для размещения камер за 1 камеру</t>
        </is>
      </c>
      <c r="D29" t="inlineStr">
        <is>
          <t>OPEX</t>
        </is>
      </c>
      <c r="F29" t="n">
        <v>2000</v>
      </c>
      <c r="G29" t="inlineStr">
        <is>
          <t>Никто (автоматом калькулятор Манько Г.)</t>
        </is>
      </c>
      <c r="I29" t="inlineStr">
        <is>
          <t>Григорий Манько</t>
        </is>
      </c>
      <c r="J29" t="inlineStr">
        <is>
          <t>Григорий Манько</t>
        </is>
      </c>
      <c r="K29" t="inlineStr">
        <is>
          <t>Неизвестно</t>
        </is>
      </c>
    </row>
    <row r="30">
      <c r="B30" t="inlineStr">
        <is>
          <t>Экономические предположения</t>
        </is>
      </c>
      <c r="C30" t="inlineStr">
        <is>
          <t>Стоимость ГСМ</t>
        </is>
      </c>
      <c r="D30" t="inlineStr">
        <is>
          <t>OPEX</t>
        </is>
      </c>
      <c r="E30" t="inlineStr">
        <is>
          <t>л</t>
        </is>
      </c>
      <c r="F30" t="n">
        <v>320</v>
      </c>
      <c r="G30" t="inlineStr">
        <is>
          <t>Никто (автоматом калькулятор Манько Г.)</t>
        </is>
      </c>
      <c r="I30" t="inlineStr">
        <is>
          <t>Григорий Манько</t>
        </is>
      </c>
      <c r="J30" t="inlineStr">
        <is>
          <t>Григорий Манько</t>
        </is>
      </c>
      <c r="K30" t="inlineStr">
        <is>
          <t>Неизвестно</t>
        </is>
      </c>
    </row>
    <row r="31">
      <c r="B31" t="inlineStr">
        <is>
          <t>Экономические предположения</t>
        </is>
      </c>
      <c r="C31" t="inlineStr">
        <is>
          <t>Канал передачи данных за 1 мбит/с</t>
        </is>
      </c>
      <c r="D31" t="inlineStr">
        <is>
          <t>OPEX</t>
        </is>
      </c>
      <c r="E31" t="inlineStr">
        <is>
          <t>мбит/с</t>
        </is>
      </c>
      <c r="F31" t="n">
        <v>1360</v>
      </c>
      <c r="G31" t="inlineStr">
        <is>
          <t>Никто (автоматом калькулятор Манько Г.)</t>
        </is>
      </c>
      <c r="I31" t="inlineStr">
        <is>
          <t>Григорий Манько</t>
        </is>
      </c>
      <c r="J31" t="inlineStr">
        <is>
          <t>Григорий Манько</t>
        </is>
      </c>
      <c r="K31" t="inlineStr">
        <is>
          <t>Неизвестно</t>
        </is>
      </c>
    </row>
    <row r="32">
      <c r="B32" t="inlineStr">
        <is>
          <t>Экономические предположения</t>
        </is>
      </c>
      <c r="C32" t="inlineStr">
        <is>
          <t>Канал передачи данных ЦУ за 1 мбит/с</t>
        </is>
      </c>
      <c r="D32" t="inlineStr">
        <is>
          <t>OPEX</t>
        </is>
      </c>
      <c r="E32" t="inlineStr">
        <is>
          <t>мбит/с</t>
        </is>
      </c>
      <c r="F32" t="n">
        <v>1250</v>
      </c>
      <c r="G32" t="inlineStr">
        <is>
          <t>Никто (автоматом калькулятор Манько Г.)</t>
        </is>
      </c>
      <c r="I32" t="inlineStr">
        <is>
          <t>Григорий Манько</t>
        </is>
      </c>
      <c r="J32" t="inlineStr">
        <is>
          <t>Григорий Манько</t>
        </is>
      </c>
      <c r="K32" t="inlineStr">
        <is>
          <t>Неизвестно</t>
        </is>
      </c>
    </row>
    <row r="33">
      <c r="B33" t="inlineStr">
        <is>
          <t>Расчет затрат по организации канала передачи данных и серверного обслуживания</t>
        </is>
      </c>
      <c r="C33" t="inlineStr">
        <is>
          <t>Канал передачи данных - камеры FIX</t>
        </is>
      </c>
      <c r="D33" t="inlineStr">
        <is>
          <t>OPEX</t>
        </is>
      </c>
      <c r="E33" t="inlineStr">
        <is>
          <t>камера</t>
        </is>
      </c>
      <c r="F33" t="n">
        <v>4760.000000000001</v>
      </c>
      <c r="G33" t="inlineStr">
        <is>
          <t>Никто (автоматом калькулятор Манько Г.)</t>
        </is>
      </c>
      <c r="I33" t="inlineStr">
        <is>
          <t>Григорий Манько</t>
        </is>
      </c>
      <c r="J33" t="inlineStr">
        <is>
          <t>Григорий Манько</t>
        </is>
      </c>
      <c r="K33" t="inlineStr">
        <is>
          <t>Никто (автоматом калькулятор Манько Г.)</t>
        </is>
      </c>
    </row>
    <row r="34">
      <c r="B34" t="inlineStr">
        <is>
          <t>Расчет затрат по организации канала передачи данных и серверного обслуживания</t>
        </is>
      </c>
      <c r="C34" t="inlineStr">
        <is>
          <t>Канал передачи данных - камеры PTZ</t>
        </is>
      </c>
      <c r="D34" t="inlineStr">
        <is>
          <t>OPEX</t>
        </is>
      </c>
      <c r="E34" t="inlineStr">
        <is>
          <t>камера</t>
        </is>
      </c>
      <c r="F34" t="n">
        <v>4760.000000000001</v>
      </c>
      <c r="G34" t="inlineStr">
        <is>
          <t>Никто (автоматом калькулятор Манько Г.)</t>
        </is>
      </c>
      <c r="I34" t="inlineStr">
        <is>
          <t>Григорий Манько</t>
        </is>
      </c>
      <c r="J34" t="inlineStr">
        <is>
          <t>Григорий Манько</t>
        </is>
      </c>
      <c r="K34" t="inlineStr">
        <is>
          <t>Никто (автоматом калькулятор Манько Г.)</t>
        </is>
      </c>
    </row>
    <row r="35">
      <c r="B35" t="inlineStr">
        <is>
          <t>Расчет затрат по организации канала передачи данных и серверного обслуживания</t>
        </is>
      </c>
      <c r="C35" t="inlineStr">
        <is>
          <t>Канал передачи данных - линейные</t>
        </is>
      </c>
      <c r="D35" t="inlineStr">
        <is>
          <t>OPEX</t>
        </is>
      </c>
      <c r="E35" t="inlineStr">
        <is>
          <t>комплекс</t>
        </is>
      </c>
      <c r="F35" t="n">
        <v>48960</v>
      </c>
      <c r="G35" t="inlineStr">
        <is>
          <t>Никто (автоматом калькулятор Манько Г.)</t>
        </is>
      </c>
      <c r="I35" t="inlineStr">
        <is>
          <t>Григорий Манько</t>
        </is>
      </c>
      <c r="J35" t="inlineStr">
        <is>
          <t>Григорий Манько</t>
        </is>
      </c>
      <c r="K35" t="inlineStr">
        <is>
          <t>Никто (автоматом калькулятор Манько Г.)</t>
        </is>
      </c>
    </row>
    <row r="36">
      <c r="B36" t="inlineStr">
        <is>
          <t>Расчет затрат по организации канала передачи данных и серверного обслуживания</t>
        </is>
      </c>
      <c r="C36" t="inlineStr">
        <is>
          <t>Канал передачи данных - перекрестки</t>
        </is>
      </c>
      <c r="D36" t="inlineStr">
        <is>
          <t>OPEX</t>
        </is>
      </c>
      <c r="E36" t="inlineStr">
        <is>
          <t>комплекс</t>
        </is>
      </c>
      <c r="F36" t="n">
        <v>81600.00000000001</v>
      </c>
      <c r="G36" t="inlineStr">
        <is>
          <t>Никто (автоматом калькулятор Манько Г.)</t>
        </is>
      </c>
      <c r="I36" t="inlineStr">
        <is>
          <t>Григорий Манько</t>
        </is>
      </c>
      <c r="J36" t="inlineStr">
        <is>
          <t>Григорий Манько</t>
        </is>
      </c>
      <c r="K36" t="inlineStr">
        <is>
          <t>Никто (автоматом калькулятор Манько Г.)</t>
        </is>
      </c>
    </row>
    <row r="37">
      <c r="B37" t="inlineStr">
        <is>
          <t>Расчет затрат по организации канала передачи данных и серверного обслуживания</t>
        </is>
      </c>
      <c r="C37" t="inlineStr">
        <is>
          <t>Техническое обслуживание ЦОДа</t>
        </is>
      </c>
      <c r="D37" t="inlineStr">
        <is>
          <t>OPEX</t>
        </is>
      </c>
      <c r="E37" t="inlineStr">
        <is>
          <t>комплекс</t>
        </is>
      </c>
      <c r="F37" t="n">
        <v>458000</v>
      </c>
      <c r="G37" t="inlineStr">
        <is>
          <t>Никто (автоматом калькулятор Манько Г.)</t>
        </is>
      </c>
      <c r="I37" t="inlineStr">
        <is>
          <t>Григорий Манько</t>
        </is>
      </c>
      <c r="J37" t="inlineStr">
        <is>
          <t>Григорий Манько</t>
        </is>
      </c>
      <c r="K37" t="inlineStr">
        <is>
          <t>Никто (автоматом калькулятор Манько Г.)</t>
        </is>
      </c>
    </row>
    <row r="38">
      <c r="B38" t="inlineStr">
        <is>
          <t>Расчет затрат по организации канала передачи данных и серверного обслуживания</t>
        </is>
      </c>
      <c r="C38" t="inlineStr">
        <is>
          <t>Техническое обслуживание серверов</t>
        </is>
      </c>
      <c r="D38" t="inlineStr">
        <is>
          <t>OPEX</t>
        </is>
      </c>
      <c r="E38" t="inlineStr">
        <is>
          <t>комплекс</t>
        </is>
      </c>
      <c r="F38" t="n">
        <v>5000000</v>
      </c>
      <c r="G38" t="inlineStr">
        <is>
          <t>Никто (автоматом калькулятор Манько Г.)</t>
        </is>
      </c>
      <c r="I38" t="inlineStr">
        <is>
          <t>Григорий Манько</t>
        </is>
      </c>
      <c r="J38" t="inlineStr">
        <is>
          <t>Григорий Манько</t>
        </is>
      </c>
      <c r="K38" t="inlineStr">
        <is>
          <t>Никто (автоматом калькулятор Манько Г.)</t>
        </is>
      </c>
    </row>
    <row r="39">
      <c r="B39" t="inlineStr">
        <is>
          <t>Расчет затрат по организации канала передачи данных и серверного обслуживания</t>
        </is>
      </c>
      <c r="C39" t="inlineStr">
        <is>
          <t>Интернет для ЦОДа</t>
        </is>
      </c>
      <c r="D39" t="inlineStr">
        <is>
          <t>OPEX</t>
        </is>
      </c>
      <c r="E39" t="inlineStr">
        <is>
          <t>штук</t>
        </is>
      </c>
      <c r="F39" t="n">
        <v>350000</v>
      </c>
      <c r="G39" t="inlineStr">
        <is>
          <t>Никто (автоматом калькулятор Манько Г.)</t>
        </is>
      </c>
      <c r="I39" t="inlineStr">
        <is>
          <t>Григорий Манько</t>
        </is>
      </c>
      <c r="J39" t="inlineStr">
        <is>
          <t>Григорий Манько</t>
        </is>
      </c>
      <c r="K39" t="inlineStr">
        <is>
          <t>Никто (автоматом калькулятор Манько Г.)</t>
        </is>
      </c>
    </row>
    <row r="40">
      <c r="B40" t="inlineStr">
        <is>
          <t>Расчет затрат по организации канала передачи данных и серверного обслуживания</t>
        </is>
      </c>
      <c r="C40" t="inlineStr">
        <is>
          <t>Интернет в офис</t>
        </is>
      </c>
      <c r="D40" t="inlineStr">
        <is>
          <t>OPEX</t>
        </is>
      </c>
      <c r="E40" t="inlineStr">
        <is>
          <t>штук</t>
        </is>
      </c>
      <c r="F40" t="n">
        <v>140000</v>
      </c>
      <c r="G40" t="inlineStr">
        <is>
          <t>Никто (автоматом калькулятор Манько Г.)</t>
        </is>
      </c>
      <c r="I40" t="inlineStr">
        <is>
          <t>Григорий Манько</t>
        </is>
      </c>
      <c r="J40" t="inlineStr">
        <is>
          <t>Григорий Манько</t>
        </is>
      </c>
      <c r="K40" t="inlineStr">
        <is>
          <t>Никто (автоматом калькулятор Манько Г.)</t>
        </is>
      </c>
    </row>
    <row r="41">
      <c r="B41" t="inlineStr">
        <is>
          <t>Расчет затрат по организации канала передачи данных и серверного обслуживания</t>
        </is>
      </c>
      <c r="C41" t="inlineStr">
        <is>
          <t>Поддержка и обновление программного обеспечения</t>
        </is>
      </c>
      <c r="D41" t="inlineStr">
        <is>
          <t>OPEX</t>
        </is>
      </c>
      <c r="E41" t="inlineStr">
        <is>
          <t>комплекс</t>
        </is>
      </c>
      <c r="F41" t="n">
        <v>7200000</v>
      </c>
      <c r="G41" t="inlineStr">
        <is>
          <t>Никто (автоматом калькулятор Манько Г.)</t>
        </is>
      </c>
      <c r="I41" t="inlineStr">
        <is>
          <t>Григорий Манько</t>
        </is>
      </c>
      <c r="J41" t="inlineStr">
        <is>
          <t>Григорий Манько</t>
        </is>
      </c>
      <c r="K41" t="inlineStr">
        <is>
          <t>Никто (автоматом калькулятор Манько Г.)</t>
        </is>
      </c>
    </row>
    <row r="42">
      <c r="B42" t="inlineStr">
        <is>
          <t>Расчет затрат по организации канала передачи данных и серверного обслуживания</t>
        </is>
      </c>
      <c r="C42" t="inlineStr">
        <is>
          <t>продление подписки IPS</t>
        </is>
      </c>
      <c r="D42" t="inlineStr">
        <is>
          <t>OPEX</t>
        </is>
      </c>
      <c r="E42" t="inlineStr">
        <is>
          <t>штук</t>
        </is>
      </c>
      <c r="F42" t="n">
        <v>292000</v>
      </c>
      <c r="G42" t="inlineStr">
        <is>
          <t>Никто (автоматом калькулятор Манько Г.)</t>
        </is>
      </c>
      <c r="I42" t="inlineStr">
        <is>
          <t>Григорий Манько</t>
        </is>
      </c>
      <c r="J42" t="inlineStr">
        <is>
          <t>Григорий Манько</t>
        </is>
      </c>
      <c r="K42" t="inlineStr">
        <is>
          <t>Никто (автоматом калькулятор Манько Г.)</t>
        </is>
      </c>
    </row>
    <row r="43">
      <c r="B43" t="inlineStr">
        <is>
          <t>Расчет затрат по организации канала передачи данных и серверного обслуживания</t>
        </is>
      </c>
      <c r="C43" t="inlineStr">
        <is>
          <t>Информационная безопасность</t>
        </is>
      </c>
      <c r="D43" t="inlineStr">
        <is>
          <t>OPEX</t>
        </is>
      </c>
      <c r="E43" t="inlineStr">
        <is>
          <t>комплекс</t>
        </is>
      </c>
      <c r="F43" t="n">
        <v>3684744.2</v>
      </c>
      <c r="G43" t="inlineStr">
        <is>
          <t>Никто (автоматом калькулятор Манько Г.)</t>
        </is>
      </c>
      <c r="I43" t="inlineStr">
        <is>
          <t>Григорий Манько</t>
        </is>
      </c>
      <c r="J43" t="inlineStr">
        <is>
          <t>Григорий Манько</t>
        </is>
      </c>
      <c r="K43" t="inlineStr">
        <is>
          <t>Никто (автоматом калькулятор Манько Г.)</t>
        </is>
      </c>
    </row>
    <row r="44">
      <c r="B44" t="inlineStr">
        <is>
          <t xml:space="preserve">Расчет затрат, связанных с обслуживанием </t>
        </is>
      </c>
      <c r="C44" t="inlineStr">
        <is>
          <t>Юстировка (выбор угла обзора)</t>
        </is>
      </c>
      <c r="D44" t="inlineStr">
        <is>
          <t>OPEX</t>
        </is>
      </c>
      <c r="E44" t="inlineStr">
        <is>
          <t>час</t>
        </is>
      </c>
      <c r="F44" t="n">
        <v>6920</v>
      </c>
      <c r="G44" t="inlineStr">
        <is>
          <t>Никто (автоматом калькулятор Манько Г.)</t>
        </is>
      </c>
      <c r="I44" t="inlineStr">
        <is>
          <t>Никто (автоматом калькулятор Манько Г.)</t>
        </is>
      </c>
      <c r="J44" t="inlineStr">
        <is>
          <t>Григорий Манько</t>
        </is>
      </c>
      <c r="K44" t="inlineStr">
        <is>
          <t>Никто (автоматом калькулятор Манько Г.)</t>
        </is>
      </c>
    </row>
    <row r="45">
      <c r="B45" t="inlineStr">
        <is>
          <t xml:space="preserve">Расчет затрат, связанных с обслуживанием </t>
        </is>
      </c>
      <c r="C45" t="inlineStr">
        <is>
          <t>Чистка от грязи</t>
        </is>
      </c>
      <c r="D45" t="inlineStr">
        <is>
          <t>OPEX</t>
        </is>
      </c>
      <c r="E45" t="inlineStr">
        <is>
          <t>час</t>
        </is>
      </c>
      <c r="F45" t="n">
        <v>6920</v>
      </c>
      <c r="G45" t="inlineStr">
        <is>
          <t>Никто (автоматом калькулятор Манько Г.)</t>
        </is>
      </c>
      <c r="I45" t="inlineStr">
        <is>
          <t>Никто (автоматом калькулятор Манько Г.)</t>
        </is>
      </c>
      <c r="J45" t="inlineStr">
        <is>
          <t>Григорий Манько</t>
        </is>
      </c>
      <c r="K45" t="inlineStr">
        <is>
          <t>Никто (автоматом калькулятор Манько Г.)</t>
        </is>
      </c>
    </row>
    <row r="46">
      <c r="B46" t="inlineStr">
        <is>
          <t xml:space="preserve">Расчет затрат, связанных с обслуживанием </t>
        </is>
      </c>
      <c r="C46" t="inlineStr">
        <is>
          <t>Замена модулей (аккумулятор и прочие)</t>
        </is>
      </c>
      <c r="D46" t="inlineStr">
        <is>
          <t>OPEX</t>
        </is>
      </c>
      <c r="E46" t="inlineStr">
        <is>
          <t>час</t>
        </is>
      </c>
      <c r="F46" t="n">
        <v>6920</v>
      </c>
      <c r="G46" t="inlineStr">
        <is>
          <t>Никто (автоматом калькулятор Манько Г.)</t>
        </is>
      </c>
      <c r="I46" t="inlineStr">
        <is>
          <t>Никто (автоматом калькулятор Манько Г.)</t>
        </is>
      </c>
      <c r="J46" t="inlineStr">
        <is>
          <t>Григорий Манько</t>
        </is>
      </c>
      <c r="K46" t="inlineStr">
        <is>
          <t>Никто (автоматом калькулятор Манько Г.)</t>
        </is>
      </c>
    </row>
    <row r="47">
      <c r="B47" t="inlineStr">
        <is>
          <t xml:space="preserve">Расчет затрат, связанных с обслуживанием </t>
        </is>
      </c>
      <c r="C47" t="inlineStr">
        <is>
          <t>Непредвиденные работы (отключение, ДТП, тех работы, третьи лица, и т.д.)</t>
        </is>
      </c>
      <c r="D47" t="inlineStr">
        <is>
          <t>OPEX</t>
        </is>
      </c>
      <c r="E47" t="inlineStr">
        <is>
          <t>час</t>
        </is>
      </c>
      <c r="F47" t="n">
        <v>6920</v>
      </c>
      <c r="G47" t="inlineStr">
        <is>
          <t>Никто (автоматом калькулятор Манько Г.)</t>
        </is>
      </c>
      <c r="I47" t="inlineStr">
        <is>
          <t>Никто (автоматом калькулятор Манько Г.)</t>
        </is>
      </c>
      <c r="J47" t="inlineStr">
        <is>
          <t>Григорий Манько</t>
        </is>
      </c>
      <c r="K47" t="inlineStr">
        <is>
          <t>Никто (автоматом калькулятор Манько Г.)</t>
        </is>
      </c>
    </row>
    <row r="48">
      <c r="B48" t="inlineStr">
        <is>
          <t>Экономические предположения</t>
        </is>
      </c>
      <c r="C48" t="inlineStr">
        <is>
          <t>Билеты (ж.д. сообщение, плацкарт, 2 направления)</t>
        </is>
      </c>
      <c r="D48" t="inlineStr">
        <is>
          <t>OPEX</t>
        </is>
      </c>
      <c r="L48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48" t="n">
        <v>15</v>
      </c>
    </row>
    <row r="49">
      <c r="B49" t="inlineStr">
        <is>
          <t>Экономические предположения</t>
        </is>
      </c>
      <c r="C49" t="inlineStr">
        <is>
          <t>Билеты (ж.д. сообщение, купе, 2 направления)</t>
        </is>
      </c>
      <c r="D49" t="inlineStr">
        <is>
          <t>OPEX</t>
        </is>
      </c>
      <c r="L49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49" t="n">
        <v>15</v>
      </c>
    </row>
    <row r="50">
      <c r="B50" t="inlineStr">
        <is>
          <t>Экономические предположения</t>
        </is>
      </c>
      <c r="C50" t="inlineStr">
        <is>
          <t>Билеты (авиа сообщение,  2 направления)</t>
        </is>
      </c>
      <c r="D50" t="inlineStr">
        <is>
          <t>OPEX</t>
        </is>
      </c>
      <c r="L50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0" t="n">
        <v>15</v>
      </c>
    </row>
    <row r="51">
      <c r="B51" t="inlineStr">
        <is>
          <t>Экономические предположения</t>
        </is>
      </c>
      <c r="C51" t="inlineStr">
        <is>
          <t>Проживание (сутки гостиница для производств.сотрудников)</t>
        </is>
      </c>
      <c r="D51" t="inlineStr">
        <is>
          <t>OPEX</t>
        </is>
      </c>
      <c r="L51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1" t="n">
        <v>15</v>
      </c>
    </row>
    <row r="52">
      <c r="B52" t="inlineStr">
        <is>
          <t>Экономические предположения</t>
        </is>
      </c>
      <c r="C52" t="inlineStr">
        <is>
          <t>Проживание (сутки гостиница для АУП)</t>
        </is>
      </c>
      <c r="D52" t="inlineStr">
        <is>
          <t>OPEX</t>
        </is>
      </c>
      <c r="L52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2" t="n">
        <v>15</v>
      </c>
    </row>
    <row r="53">
      <c r="B53" t="inlineStr">
        <is>
          <t>Экономические предположения</t>
        </is>
      </c>
      <c r="C53" t="inlineStr">
        <is>
          <t>Суточные (6 мрп)</t>
        </is>
      </c>
      <c r="D53" t="inlineStr">
        <is>
          <t>OPEX</t>
        </is>
      </c>
      <c r="L53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3" t="n">
        <v>15</v>
      </c>
    </row>
    <row r="54">
      <c r="B54" t="inlineStr">
        <is>
          <t>7. Расчет экспл.расх</t>
        </is>
      </c>
      <c r="C54" t="inlineStr">
        <is>
          <t>ДТ для ДГУ</t>
        </is>
      </c>
      <c r="D54" t="inlineStr">
        <is>
          <t>OPEX</t>
        </is>
      </c>
      <c r="L54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4" t="n">
        <v>14</v>
      </c>
    </row>
    <row r="55">
      <c r="B55" t="inlineStr">
        <is>
          <t>Экономические предположения</t>
        </is>
      </c>
      <c r="C55" t="inlineStr">
        <is>
          <t>Охрана</t>
        </is>
      </c>
      <c r="D55" t="inlineStr">
        <is>
          <t>OPEX</t>
        </is>
      </c>
      <c r="L55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5" t="n">
        <v>14</v>
      </c>
    </row>
    <row r="56">
      <c r="B56" t="inlineStr">
        <is>
          <t>Экономические предположения</t>
        </is>
      </c>
      <c r="C56" t="inlineStr">
        <is>
          <t>Канц. Товары</t>
        </is>
      </c>
      <c r="D56" t="inlineStr">
        <is>
          <t>OPEX</t>
        </is>
      </c>
      <c r="L56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6" t="n">
        <v>14</v>
      </c>
    </row>
    <row r="57">
      <c r="B57" t="inlineStr">
        <is>
          <t>Экономические предположения</t>
        </is>
      </c>
      <c r="C57" t="inlineStr">
        <is>
          <t>Хоз. Товары</t>
        </is>
      </c>
      <c r="D57" t="inlineStr">
        <is>
          <t>OPEX</t>
        </is>
      </c>
      <c r="L57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7" t="n">
        <v>14</v>
      </c>
    </row>
    <row r="58">
      <c r="B58" t="inlineStr">
        <is>
          <t>Экономические предположения</t>
        </is>
      </c>
      <c r="C58" t="inlineStr">
        <is>
          <t>Клининговые услуги</t>
        </is>
      </c>
      <c r="D58" t="inlineStr">
        <is>
          <t>OPEX</t>
        </is>
      </c>
      <c r="L58" t="inlineStr">
        <is>
          <t>2_ФЭМ_Костанай_3,5млрд_v3_в_коротком_виде2.xlsx::7. Расчет экспл.расх; 4. Шу_ФЭМ.xlsx::5. Экспл; Прил_ФЭМ_Алм_обл_расширение_тарифы_для_3_ПК_19_03_2025_1.xlsx::5. Экспл; ФЭМ ДС №2 Алмобл 26.02 .xlsx::5. Экспл; ФЭМ Костанай.xlsx::7. Расчет экспл.расх</t>
        </is>
      </c>
      <c r="M58" t="n">
        <v>13</v>
      </c>
    </row>
    <row r="59">
      <c r="B59" t="inlineStr">
        <is>
          <t>Экономические предположения</t>
        </is>
      </c>
      <c r="C59" t="inlineStr">
        <is>
          <t>ГСМ для сотрудников</t>
        </is>
      </c>
      <c r="D59" t="inlineStr">
        <is>
          <t>OPEX</t>
        </is>
      </c>
      <c r="L59" t="inlineStr">
        <is>
          <t>4. Шу_ФЭМ.xlsx::5. Экспл; Прил_ФЭМ_Алм_обл_расширение_тарифы_для_3_ПК_19_03_2025_1.xlsx::5. Экспл; ФЭМ ДС №2 Алмобл 26.02 .xlsx::5. Экспл; ФЭМ Туркестан фин 04.11.2025.xlsx::5. Экспл; ФЭМ №1 (Павлодар).xlsx::5. Экспл</t>
        </is>
      </c>
      <c r="M59" t="n">
        <v>12</v>
      </c>
    </row>
    <row r="60">
      <c r="B60" t="inlineStr">
        <is>
          <t>7. Расчет экспл.расх</t>
        </is>
      </c>
      <c r="C60" t="inlineStr">
        <is>
          <t>Канал передачи данных - центральный узел</t>
        </is>
      </c>
      <c r="D60" t="inlineStr">
        <is>
          <t>OPEX</t>
        </is>
      </c>
      <c r="L60" t="inlineStr">
        <is>
          <t>2_ФЭМ_Костанай_3,5млрд_v3_в_коротком_виде2.xlsx::7. Расчет экспл.расх; ФЭМ Костанай.xlsx::7. Расчет экспл.расх; ФЭМ №1 (Павлодар).xlsx::5. Экспл; ФЭМ_Туркестан_1006.xlsx::Экспл</t>
        </is>
      </c>
      <c r="M60" t="n">
        <v>4</v>
      </c>
    </row>
    <row r="61">
      <c r="B61" t="inlineStr">
        <is>
          <t>Экспл</t>
        </is>
      </c>
      <c r="C61" t="inlineStr">
        <is>
          <t>Аренда ЦОД</t>
        </is>
      </c>
      <c r="D61" t="inlineStr">
        <is>
          <t>OPEX</t>
        </is>
      </c>
      <c r="L61" t="inlineStr">
        <is>
          <t>ФЭМ ИТОГ до ноября24.xlsx::Экспл; ФЭМ_Астана (4).xlsx::Экспл</t>
        </is>
      </c>
      <c r="M61" t="n">
        <v>3</v>
      </c>
    </row>
    <row r="62">
      <c r="B62" t="inlineStr">
        <is>
          <t>Экспл</t>
        </is>
      </c>
      <c r="C62" t="inlineStr">
        <is>
          <t>Коммунальные расходы (электроэнергия)</t>
        </is>
      </c>
      <c r="D62" t="inlineStr">
        <is>
          <t>OPEX</t>
        </is>
      </c>
      <c r="L62" t="inlineStr">
        <is>
          <t>ФЭМ ИТОГ до ноября24.xlsx::Экспл; ФЭМ_Астана (4).xlsx::Экспл</t>
        </is>
      </c>
      <c r="M62" t="n">
        <v>3</v>
      </c>
    </row>
    <row r="63">
      <c r="B63" t="inlineStr">
        <is>
          <t>5. Экспл</t>
        </is>
      </c>
      <c r="C63" t="inlineStr">
        <is>
          <t>Обслуживание  АПК "Патруль"</t>
        </is>
      </c>
      <c r="D63" t="inlineStr">
        <is>
          <t>OPEX</t>
        </is>
      </c>
      <c r="L63" t="inlineStr">
        <is>
          <t>ФЭМ_проекта_Жетысу_final.xlsx::5. Экспл; ФЭМ_проекта_Кульсары_Расширение_новый_состав_1_8.xlsx::5. Экспл; ФЭМ_проекта_Курмангазы v.8.xlsx::5. Экспл</t>
        </is>
      </c>
      <c r="M63" t="n">
        <v>3</v>
      </c>
    </row>
    <row r="64">
      <c r="B64" t="inlineStr">
        <is>
          <t>Аппаратно-программные комплексы "Сергек"</t>
        </is>
      </c>
      <c r="C64" t="inlineStr">
        <is>
          <t>Канал передачи данных - АПК "Сергек.Линейный"</t>
        </is>
      </c>
      <c r="D64" t="inlineStr">
        <is>
          <t>OPEX</t>
        </is>
      </c>
      <c r="L64" t="inlineStr">
        <is>
          <t>2_ФЭМ_Костанай_3,5млрд_v3_в_коротком_виде2.xlsx::7. Расчет экспл.расх; ФЭМ Костанай.xlsx::7. Расчет экспл.расх</t>
        </is>
      </c>
      <c r="M64" t="n">
        <v>2</v>
      </c>
    </row>
    <row r="65">
      <c r="B65" t="inlineStr">
        <is>
          <t>Аппаратно-программные комплексы "Сергек"</t>
        </is>
      </c>
      <c r="C65" t="inlineStr">
        <is>
          <t>Канал передачи данных - АПК "Сергек.Перекресток"</t>
        </is>
      </c>
      <c r="D65" t="inlineStr">
        <is>
          <t>OPEX</t>
        </is>
      </c>
      <c r="L65" t="inlineStr">
        <is>
          <t>2_ФЭМ_Костанай_3,5млрд_v3_в_коротком_виде2.xlsx::7. Расчет экспл.расх; ФЭМ Костанай.xlsx::7. Расчет экспл.расх</t>
        </is>
      </c>
      <c r="M65" t="n">
        <v>2</v>
      </c>
    </row>
    <row r="66">
      <c r="B66" t="inlineStr">
        <is>
          <t>Аппаратно-программные комплексы "Сергек"</t>
        </is>
      </c>
      <c r="C66" t="inlineStr">
        <is>
          <t>Распределение расходов административно-управленческого персонала,осуществляющего поддержку проекта Астана - Сергек ( прочие расходы)</t>
        </is>
      </c>
      <c r="D66" t="inlineStr">
        <is>
          <t>OPEX</t>
        </is>
      </c>
      <c r="L66" t="inlineStr">
        <is>
          <t>ФЭМ_Астана (4).xlsx::Обсл; ФЭМ_Астана (4).xlsx::Экспл</t>
        </is>
      </c>
      <c r="M66" t="n">
        <v>2</v>
      </c>
    </row>
    <row r="67">
      <c r="B67" t="inlineStr">
        <is>
          <t>Аппаратно-программные комплексы "Сергек"</t>
        </is>
      </c>
      <c r="C67" t="inlineStr">
        <is>
          <t>Распределение расходов административно-управленческого персонала,осуществляющего поддержку проекта Астана - Сергек за  декабрь 2022г. ( прочие расходы)</t>
        </is>
      </c>
      <c r="D67" t="inlineStr">
        <is>
          <t>OPEX</t>
        </is>
      </c>
      <c r="L67" t="inlineStr">
        <is>
          <t>ФЭМ ИТОГ до ноября24.xlsx::Обсл</t>
        </is>
      </c>
      <c r="M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Леся</dc:creator>
  <dcterms:created xsi:type="dcterms:W3CDTF">2014-03-08T08:06:08Z</dcterms:created>
  <dcterms:modified xsi:type="dcterms:W3CDTF">2026-07-20T06:52:18Z</dcterms:modified>
  <cp:lastModifiedBy>Гульбану Ибраимова</cp:lastModifiedBy>
  <cp:lastPrinted>2024-04-24T09:13:18Z</cp:lastPrinted>
</cp:coreProperties>
</file>